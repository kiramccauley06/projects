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202300"/>
  <xr:revisionPtr revIDLastSave="0" documentId="8_{2EE25B3D-9EB2-4B9F-AC7B-8F18FB40BE19}" xr6:coauthVersionLast="47" xr6:coauthVersionMax="47" xr10:uidLastSave="{00000000-0000-0000-0000-000000000000}"/>
  <bookViews>
    <workbookView xWindow="-110" yWindow="-110" windowWidth="22780" windowHeight="14540" activeTab="3" xr2:uid="{00000000-000D-0000-FFFF-FFFF00000000}"/>
  </bookViews>
  <sheets>
    <sheet name="PivotTables" sheetId="7" r:id="rId1"/>
    <sheet name="Contracts" sheetId="1" r:id="rId2"/>
    <sheet name="Billable Hours" sheetId="2" r:id="rId3"/>
    <sheet name="Copy1" sheetId="3" r:id="rId4"/>
    <sheet name="Copy2" sheetId="4" r:id="rId5"/>
  </sheets>
  <definedNames>
    <definedName name="_xlnm._FilterDatabase" localSheetId="2" hidden="1">'Billable Hours'!$A$4:$D$51</definedName>
    <definedName name="ExternalData_1" localSheetId="1" hidden="1">Contracts!$A$4:$F$31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3" l="1"/>
  <c r="C42" i="3"/>
  <c r="C33" i="3"/>
  <c r="C26" i="3"/>
  <c r="C16" i="3"/>
  <c r="C57" i="3" s="1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56" i="3" s="1"/>
  <c r="D41" i="3"/>
  <c r="D40" i="3"/>
  <c r="D39" i="3"/>
  <c r="D38" i="3"/>
  <c r="D37" i="3"/>
  <c r="D36" i="3"/>
  <c r="D35" i="3"/>
  <c r="D34" i="3"/>
  <c r="D42" i="3" s="1"/>
  <c r="D32" i="3"/>
  <c r="D31" i="3"/>
  <c r="D30" i="3"/>
  <c r="D29" i="3"/>
  <c r="D28" i="3"/>
  <c r="D27" i="3"/>
  <c r="D33" i="3" s="1"/>
  <c r="D25" i="3"/>
  <c r="D24" i="3"/>
  <c r="D23" i="3"/>
  <c r="D22" i="3"/>
  <c r="D21" i="3"/>
  <c r="D20" i="3"/>
  <c r="D19" i="3"/>
  <c r="D18" i="3"/>
  <c r="D17" i="3"/>
  <c r="D26" i="3" s="1"/>
  <c r="D15" i="3"/>
  <c r="D14" i="3"/>
  <c r="D13" i="3"/>
  <c r="D12" i="3"/>
  <c r="D11" i="3"/>
  <c r="D10" i="3"/>
  <c r="D9" i="3"/>
  <c r="D8" i="3"/>
  <c r="D7" i="3"/>
  <c r="D6" i="3"/>
  <c r="D5" i="3"/>
  <c r="D16" i="3" s="1"/>
  <c r="D57" i="3" s="1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51" i="2"/>
  <c r="E15" i="2"/>
  <c r="E24" i="2"/>
  <c r="E23" i="2"/>
  <c r="E30" i="2"/>
  <c r="E29" i="2"/>
  <c r="E38" i="2"/>
  <c r="E37" i="2"/>
  <c r="E22" i="2"/>
  <c r="E21" i="2"/>
  <c r="E14" i="2"/>
  <c r="E50" i="2"/>
  <c r="E49" i="2"/>
  <c r="E48" i="2"/>
  <c r="E47" i="2"/>
  <c r="E46" i="2"/>
  <c r="E36" i="2"/>
  <c r="E35" i="2"/>
  <c r="E45" i="2"/>
  <c r="E13" i="2"/>
  <c r="E12" i="2"/>
  <c r="E11" i="2"/>
  <c r="E10" i="2"/>
  <c r="E34" i="2"/>
  <c r="E33" i="2"/>
  <c r="E20" i="2"/>
  <c r="E19" i="2"/>
  <c r="E32" i="2"/>
  <c r="E44" i="2"/>
  <c r="E43" i="2"/>
  <c r="E42" i="2"/>
  <c r="E41" i="2"/>
  <c r="E18" i="2"/>
  <c r="E17" i="2"/>
  <c r="E28" i="2"/>
  <c r="E27" i="2"/>
  <c r="E16" i="2"/>
  <c r="E9" i="2"/>
  <c r="E8" i="2"/>
  <c r="E26" i="2"/>
  <c r="E25" i="2"/>
  <c r="E31" i="2"/>
  <c r="E40" i="2"/>
  <c r="E39" i="2"/>
  <c r="E7" i="2"/>
  <c r="E6" i="2"/>
  <c r="E5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62DC3-C7C3-4F67-90FB-7242402E654A}" keepAlive="1" name="Query - EllerText-04 (2)" description="Connection to the 'EllerText-04 (2)' query in the workbook." type="5" refreshedVersion="0" background="1">
    <dbPr connection="Provider=Microsoft.Mashup.OleDb.1;Data Source=$Workbook$;Location=&quot;EllerText-04 (2)&quot;;Extended Properties=&quot;&quot;" command="SELECT * FROM [EllerText-04 (2)]"/>
  </connection>
  <connection id="2" xr16:uid="{D6E20029-2496-4420-A35F-BFFC6CB806ED}" keepAlive="1" name="Query - EllerText-04 (3)" description="Connection to the 'EllerText-04 (3)' query in the workbook." type="5" refreshedVersion="8" background="1" saveData="1">
    <dbPr connection="Provider=Microsoft.Mashup.OleDb.1;Data Source=$Workbook$;Location=&quot;EllerText-04 (3)&quot;;Extended Properties=&quot;&quot;" command="SELECT * FROM [EllerText-04 (3)]"/>
  </connection>
</connections>
</file>

<file path=xl/sharedStrings.xml><?xml version="1.0" encoding="utf-8"?>
<sst xmlns="http://schemas.openxmlformats.org/spreadsheetml/2006/main" count="446" uniqueCount="140">
  <si>
    <t>Client Name</t>
  </si>
  <si>
    <t>Product/Service</t>
  </si>
  <si>
    <t>Date</t>
  </si>
  <si>
    <t>Billable</t>
  </si>
  <si>
    <t>Heather Guyan</t>
  </si>
  <si>
    <t>Karen Talon</t>
  </si>
  <si>
    <t>Mike Gunderson</t>
  </si>
  <si>
    <t>Thomas Larson</t>
  </si>
  <si>
    <t>Wade Whitworth</t>
  </si>
  <si>
    <t>Paula Valentine</t>
  </si>
  <si>
    <t>Richard Malinowski</t>
  </si>
  <si>
    <t>Robert Gneiss</t>
  </si>
  <si>
    <t>ERP: Enterprise Resource Planning</t>
  </si>
  <si>
    <t>Susan Charlotte</t>
  </si>
  <si>
    <t>Martin Green</t>
  </si>
  <si>
    <t>Craig Brand</t>
  </si>
  <si>
    <t>Glenn Ladewig</t>
  </si>
  <si>
    <t>Terri Olander</t>
  </si>
  <si>
    <t>Hilary Marschke</t>
  </si>
  <si>
    <t>Shelly Vlcko</t>
  </si>
  <si>
    <t>Michelle Cronin</t>
  </si>
  <si>
    <t>Arthur Weston</t>
  </si>
  <si>
    <t>Christine Barton</t>
  </si>
  <si>
    <t>Charlie Lindberg</t>
  </si>
  <si>
    <t>Jeremie Midboe</t>
  </si>
  <si>
    <t>Arnold Robert</t>
  </si>
  <si>
    <t>Amir Atef</t>
  </si>
  <si>
    <t>Jerri Salzman</t>
  </si>
  <si>
    <t>Juan Garcia</t>
  </si>
  <si>
    <t>Elizabeth Jones</t>
  </si>
  <si>
    <t>Robert Lawlor</t>
  </si>
  <si>
    <t>Patricia Glunz</t>
  </si>
  <si>
    <t>POS: Point of Sale Installation</t>
  </si>
  <si>
    <t>Web Site Development</t>
  </si>
  <si>
    <t>Accounting Installation</t>
  </si>
  <si>
    <t>Content Development</t>
  </si>
  <si>
    <t>Billable Hours To Date</t>
  </si>
  <si>
    <t>Project Hours</t>
  </si>
  <si>
    <t>Eller Systems</t>
  </si>
  <si>
    <t>.5 Administrative</t>
  </si>
  <si>
    <t>City</t>
  </si>
  <si>
    <t>System/Service</t>
  </si>
  <si>
    <t>Hours to Date</t>
  </si>
  <si>
    <t>First Name</t>
  </si>
  <si>
    <t>Last Name</t>
  </si>
  <si>
    <t>Bemidji</t>
  </si>
  <si>
    <t>Heather</t>
  </si>
  <si>
    <t>Guyan</t>
  </si>
  <si>
    <t>Saint Cloud</t>
  </si>
  <si>
    <t>Craig</t>
  </si>
  <si>
    <t>Brand</t>
  </si>
  <si>
    <t>Cass Lake</t>
  </si>
  <si>
    <t>Wade</t>
  </si>
  <si>
    <t>Whitworth</t>
  </si>
  <si>
    <t>Brainerd</t>
  </si>
  <si>
    <t>Terri</t>
  </si>
  <si>
    <t>Olander</t>
  </si>
  <si>
    <t>Minneapolis</t>
  </si>
  <si>
    <t>Charlie</t>
  </si>
  <si>
    <t>Lindberg</t>
  </si>
  <si>
    <t>Hilary</t>
  </si>
  <si>
    <t>Marschke</t>
  </si>
  <si>
    <t>Deer River</t>
  </si>
  <si>
    <t>Shelly</t>
  </si>
  <si>
    <t>Vlcko</t>
  </si>
  <si>
    <t>Mike</t>
  </si>
  <si>
    <t>Gunderson</t>
  </si>
  <si>
    <t>Eagan</t>
  </si>
  <si>
    <t>Jeremie</t>
  </si>
  <si>
    <t>Midboe</t>
  </si>
  <si>
    <t>Arthur</t>
  </si>
  <si>
    <t>Weston</t>
  </si>
  <si>
    <t>Susan</t>
  </si>
  <si>
    <t>Charlotte</t>
  </si>
  <si>
    <t>Thomas</t>
  </si>
  <si>
    <t>Larson</t>
  </si>
  <si>
    <t>Arnold</t>
  </si>
  <si>
    <t>Robert</t>
  </si>
  <si>
    <t>Gneiss</t>
  </si>
  <si>
    <t>Paula</t>
  </si>
  <si>
    <t>Valentine</t>
  </si>
  <si>
    <t>Michelle</t>
  </si>
  <si>
    <t>Cronin</t>
  </si>
  <si>
    <t>Amir</t>
  </si>
  <si>
    <t>Atef</t>
  </si>
  <si>
    <t>Richard</t>
  </si>
  <si>
    <t>Malinowski</t>
  </si>
  <si>
    <t>Glenn</t>
  </si>
  <si>
    <t>Ladewig</t>
  </si>
  <si>
    <t>Christine</t>
  </si>
  <si>
    <t>Barton</t>
  </si>
  <si>
    <t>Lawlor</t>
  </si>
  <si>
    <t>Martin</t>
  </si>
  <si>
    <t>Green</t>
  </si>
  <si>
    <t>Jerri</t>
  </si>
  <si>
    <t>Salzman</t>
  </si>
  <si>
    <t>Juan</t>
  </si>
  <si>
    <t>Garcia</t>
  </si>
  <si>
    <t>Elizabeth</t>
  </si>
  <si>
    <t>Jones</t>
  </si>
  <si>
    <t>Karen</t>
  </si>
  <si>
    <t>Talon</t>
  </si>
  <si>
    <t>Patricia</t>
  </si>
  <si>
    <t>Glunz</t>
  </si>
  <si>
    <t>heguy</t>
  </si>
  <si>
    <t>crbra</t>
  </si>
  <si>
    <t>Customer</t>
  </si>
  <si>
    <t>Row Labels</t>
  </si>
  <si>
    <t>Grand Total</t>
  </si>
  <si>
    <t>wawhi</t>
  </si>
  <si>
    <t>teola</t>
  </si>
  <si>
    <t>chlin</t>
  </si>
  <si>
    <t>himar</t>
  </si>
  <si>
    <t>shvlc</t>
  </si>
  <si>
    <t>migun</t>
  </si>
  <si>
    <t>jemid</t>
  </si>
  <si>
    <t>arwes</t>
  </si>
  <si>
    <t>sucha</t>
  </si>
  <si>
    <t>thlar</t>
  </si>
  <si>
    <t>arrob</t>
  </si>
  <si>
    <t>rogne</t>
  </si>
  <si>
    <t>paval</t>
  </si>
  <si>
    <t>micro</t>
  </si>
  <si>
    <t>amate</t>
  </si>
  <si>
    <t>rimal</t>
  </si>
  <si>
    <t>gllad</t>
  </si>
  <si>
    <t>chbar</t>
  </si>
  <si>
    <t>rolaw</t>
  </si>
  <si>
    <t>magre</t>
  </si>
  <si>
    <t>jesal</t>
  </si>
  <si>
    <t>jugar</t>
  </si>
  <si>
    <t>eljon</t>
  </si>
  <si>
    <t>katal</t>
  </si>
  <si>
    <t>paglu</t>
  </si>
  <si>
    <t>Total Hours</t>
  </si>
  <si>
    <t>Accounting Installation Total</t>
  </si>
  <si>
    <t>Content Development Total</t>
  </si>
  <si>
    <t>ERP: Enterprise Resource Planning Total</t>
  </si>
  <si>
    <t>POS: Point of Sale Installation Total</t>
  </si>
  <si>
    <t>Web Site Development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</si>
</sst>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4" fillId="0" borderId="0" xfId="1"/>
    <xf numFmtId="0" fontId="1" fillId="0" borderId="0" xfId="1" applyFont="1" applyAlignment="1">
      <alignment horizontal="centerContinuous"/>
    </xf>
    <xf numFmtId="0" fontId="2" fillId="0" borderId="0" xfId="1" applyFont="1" applyAlignment="1">
      <alignment horizontal="centerContinuous"/>
    </xf>
    <xf numFmtId="14" fontId="4" fillId="0" borderId="0" xfId="1" applyNumberFormat="1"/>
    <xf numFmtId="0" fontId="4" fillId="0" borderId="1" xfId="1" applyBorder="1"/>
    <xf numFmtId="14" fontId="4" fillId="0" borderId="1" xfId="1" applyNumberFormat="1" applyBorder="1"/>
    <xf numFmtId="0" fontId="4" fillId="0" borderId="2" xfId="1" applyBorder="1"/>
    <xf numFmtId="2" fontId="4" fillId="0" borderId="3" xfId="1" applyNumberFormat="1" applyBorder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4" fillId="0" borderId="7" xfId="1" applyBorder="1"/>
    <xf numFmtId="0" fontId="4" fillId="0" borderId="8" xfId="1" applyBorder="1"/>
    <xf numFmtId="2" fontId="4" fillId="0" borderId="9" xfId="1" applyNumberFormat="1" applyBorder="1"/>
    <xf numFmtId="2" fontId="0" fillId="0" borderId="0" xfId="0" applyNumberFormat="1"/>
    <xf numFmtId="0" fontId="0" fillId="0" borderId="0" xfId="0" applyNumberFormat="1"/>
    <xf numFmtId="2" fontId="3" fillId="0" borderId="5" xfId="1" applyNumberFormat="1" applyFont="1" applyFill="1" applyBorder="1"/>
    <xf numFmtId="0" fontId="5" fillId="0" borderId="0" xfId="1" applyFont="1" applyAlignment="1">
      <alignment horizontal="centerContinuous"/>
    </xf>
    <xf numFmtId="0" fontId="4" fillId="0" borderId="0" xfId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Continuous"/>
    </xf>
    <xf numFmtId="2" fontId="0" fillId="0" borderId="1" xfId="1" applyNumberFormat="1" applyFont="1" applyFill="1" applyBorder="1" applyAlignment="1"/>
    <xf numFmtId="0" fontId="3" fillId="0" borderId="1" xfId="1" applyNumberFormat="1" applyFont="1" applyFill="1" applyBorder="1" applyAlignment="1"/>
    <xf numFmtId="2" fontId="3" fillId="0" borderId="1" xfId="1" applyNumberFormat="1" applyFont="1" applyFill="1" applyBorder="1" applyAlignment="1"/>
    <xf numFmtId="0" fontId="0" fillId="0" borderId="1" xfId="1" applyNumberFormat="1" applyFont="1" applyFill="1" applyBorder="1" applyAlignment="1"/>
    <xf numFmtId="14" fontId="0" fillId="0" borderId="1" xfId="1" applyNumberFormat="1" applyFont="1" applyFill="1" applyBorder="1" applyAlignment="1"/>
    <xf numFmtId="2" fontId="0" fillId="0" borderId="1" xfId="0" applyNumberFormat="1" applyFont="1" applyFill="1" applyBorder="1"/>
  </cellXfs>
  <cellStyles count="2">
    <cellStyle name="Normal" xfId="0" builtinId="0"/>
    <cellStyle name="Normal#pfnQYTawpReDjHAUJwgiCmVDxK/Vtupn8FplbyAIfME=" xfId="1" xr:uid="{00000000-0005-0000-0000-000001000000}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8.469102893519" createdVersion="8" refreshedVersion="8" minRefreshableVersion="3" recordCount="27" xr:uid="{042C0B37-C542-4E18-97E9-C9A8921118C9}">
  <cacheSource type="worksheet">
    <worksheetSource name="EllerText_04__27"/>
  </cacheSource>
  <cacheFields count="6">
    <cacheField name="City" numFmtId="0">
      <sharedItems count="7">
        <s v="Bemidji"/>
        <s v="Saint Cloud"/>
        <s v="Cass Lake"/>
        <s v="Brainerd"/>
        <s v="Minneapolis"/>
        <s v="Deer River"/>
        <s v="Eagan"/>
      </sharedItems>
    </cacheField>
    <cacheField name="System/Service" numFmtId="0">
      <sharedItems count="5">
        <s v="Web Site Development"/>
        <s v="Content Development"/>
        <s v="Accounting Installation"/>
        <s v="POS: Point of Sale Installation"/>
        <s v="ERP: Enterprise Resource Planning"/>
      </sharedItems>
    </cacheField>
    <cacheField name="Hours to Date" numFmtId="0">
      <sharedItems containsSemiMixedTypes="0" containsString="0" containsNumber="1" containsInteger="1" minValue="4" maxValue="25"/>
    </cacheField>
    <cacheField name="Customer" numFmtId="0">
      <sharedItems containsBlank="1"/>
    </cacheField>
    <cacheField name="First Name" numFmtId="0">
      <sharedItems/>
    </cacheField>
    <cacheField name="Las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13"/>
    <m/>
    <s v="Heather"/>
    <s v="Guyan"/>
  </r>
  <r>
    <x v="1"/>
    <x v="1"/>
    <n v="22"/>
    <m/>
    <s v="Craig"/>
    <s v="Brand"/>
  </r>
  <r>
    <x v="2"/>
    <x v="2"/>
    <n v="14"/>
    <m/>
    <s v="Wade"/>
    <s v="Whitworth"/>
  </r>
  <r>
    <x v="3"/>
    <x v="3"/>
    <n v="14"/>
    <s v="heguy"/>
    <s v="Terri"/>
    <s v="Olander"/>
  </r>
  <r>
    <x v="4"/>
    <x v="4"/>
    <n v="19"/>
    <s v="crbra"/>
    <s v="Charlie"/>
    <s v="Lindberg"/>
  </r>
  <r>
    <x v="1"/>
    <x v="0"/>
    <n v="20"/>
    <s v="w"/>
    <s v="Hilary"/>
    <s v="Marschke"/>
  </r>
  <r>
    <x v="5"/>
    <x v="2"/>
    <n v="25"/>
    <m/>
    <s v="Shelly"/>
    <s v="Vlcko"/>
  </r>
  <r>
    <x v="0"/>
    <x v="1"/>
    <n v="13"/>
    <m/>
    <s v="Mike"/>
    <s v="Gunderson"/>
  </r>
  <r>
    <x v="6"/>
    <x v="3"/>
    <n v="10"/>
    <m/>
    <s v="Jeremie"/>
    <s v="Midboe"/>
  </r>
  <r>
    <x v="1"/>
    <x v="1"/>
    <n v="15"/>
    <m/>
    <s v="Arthur"/>
    <s v="Weston"/>
  </r>
  <r>
    <x v="4"/>
    <x v="4"/>
    <n v="14"/>
    <m/>
    <s v="Susan"/>
    <s v="Charlotte"/>
  </r>
  <r>
    <x v="2"/>
    <x v="0"/>
    <n v="21"/>
    <m/>
    <s v="Thomas"/>
    <s v="Larson"/>
  </r>
  <r>
    <x v="5"/>
    <x v="2"/>
    <n v="18"/>
    <m/>
    <s v="Arnold"/>
    <s v="Robert"/>
  </r>
  <r>
    <x v="4"/>
    <x v="4"/>
    <n v="15"/>
    <m/>
    <s v="Robert"/>
    <s v="Gneiss"/>
  </r>
  <r>
    <x v="0"/>
    <x v="0"/>
    <n v="15"/>
    <m/>
    <s v="Paula"/>
    <s v="Valentine"/>
  </r>
  <r>
    <x v="3"/>
    <x v="3"/>
    <n v="8"/>
    <m/>
    <s v="Michelle"/>
    <s v="Cronin"/>
  </r>
  <r>
    <x v="1"/>
    <x v="0"/>
    <n v="17"/>
    <m/>
    <s v="Amir"/>
    <s v="Atef"/>
  </r>
  <r>
    <x v="1"/>
    <x v="1"/>
    <n v="23"/>
    <m/>
    <s v="Richard"/>
    <s v="Malinowski"/>
  </r>
  <r>
    <x v="2"/>
    <x v="2"/>
    <n v="25"/>
    <m/>
    <s v="Glenn"/>
    <s v="Ladewig"/>
  </r>
  <r>
    <x v="3"/>
    <x v="3"/>
    <n v="19"/>
    <m/>
    <s v="Christine"/>
    <s v="Barton"/>
  </r>
  <r>
    <x v="4"/>
    <x v="1"/>
    <n v="4"/>
    <m/>
    <s v="Robert"/>
    <s v="Lawlor"/>
  </r>
  <r>
    <x v="0"/>
    <x v="2"/>
    <n v="14"/>
    <m/>
    <s v="Martin"/>
    <s v="Green"/>
  </r>
  <r>
    <x v="3"/>
    <x v="3"/>
    <n v="5"/>
    <m/>
    <s v="Jerri"/>
    <s v="Salzman"/>
  </r>
  <r>
    <x v="1"/>
    <x v="0"/>
    <n v="10"/>
    <m/>
    <s v="Juan"/>
    <s v="Garcia"/>
  </r>
  <r>
    <x v="1"/>
    <x v="1"/>
    <n v="12"/>
    <m/>
    <s v="Elizabeth"/>
    <s v="Jones"/>
  </r>
  <r>
    <x v="2"/>
    <x v="2"/>
    <n v="11"/>
    <m/>
    <s v="Karen"/>
    <s v="Talon"/>
  </r>
  <r>
    <x v="3"/>
    <x v="3"/>
    <n v="15"/>
    <m/>
    <s v="Patricia"/>
    <s v="Glun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868A2-671F-424A-86B5-3E5471F464E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1" firstHeaderRow="1" firstDataRow="1" firstDataCol="1"/>
  <pivotFields count="6">
    <pivotField axis="axisRow" showAll="0">
      <items count="8">
        <item x="0"/>
        <item x="3"/>
        <item x="2"/>
        <item x="5"/>
        <item x="6"/>
        <item x="4"/>
        <item x="1"/>
        <item t="default"/>
      </items>
    </pivotField>
    <pivotField axis="axisRow" showAll="0">
      <items count="6">
        <item x="2"/>
        <item x="1"/>
        <item x="4"/>
        <item x="3"/>
        <item x="0"/>
        <item t="default"/>
      </items>
    </pivotField>
    <pivotField dataField="1" showAll="0"/>
    <pivotField showAll="0"/>
    <pivotField showAll="0"/>
    <pivotField showAll="0"/>
  </pivotFields>
  <rowFields count="2">
    <field x="1"/>
    <field x="0"/>
  </rowFields>
  <rowItems count="18">
    <i>
      <x/>
    </i>
    <i r="1">
      <x/>
    </i>
    <i r="1">
      <x v="2"/>
    </i>
    <i r="1">
      <x v="3"/>
    </i>
    <i>
      <x v="1"/>
    </i>
    <i r="1">
      <x/>
    </i>
    <i r="1">
      <x v="5"/>
    </i>
    <i r="1">
      <x v="6"/>
    </i>
    <i>
      <x v="2"/>
    </i>
    <i r="1">
      <x v="5"/>
    </i>
    <i>
      <x v="3"/>
    </i>
    <i r="1">
      <x v="1"/>
    </i>
    <i r="1">
      <x v="4"/>
    </i>
    <i>
      <x v="4"/>
    </i>
    <i r="1">
      <x/>
    </i>
    <i r="1">
      <x v="2"/>
    </i>
    <i r="1">
      <x v="6"/>
    </i>
    <i t="grand">
      <x/>
    </i>
  </rowItems>
  <colItems count="1">
    <i/>
  </colItems>
  <dataFields count="1">
    <dataField name="Total Hours" fld="2" baseField="0" baseItem="0" numFmtId="2"/>
  </dataFields>
  <pivotTableStyleInfo name="PivotStyleDark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DE14C-5055-466B-BE72-5D4430EA53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6">
    <pivotField axis="axisRow" showAll="0">
      <items count="8">
        <item x="0"/>
        <item x="3"/>
        <item x="2"/>
        <item x="5"/>
        <item x="6"/>
        <item x="4"/>
        <item x="1"/>
        <item t="default"/>
      </items>
    </pivotField>
    <pivotField axis="axisRow" showAll="0">
      <items count="6">
        <item x="2"/>
        <item x="1"/>
        <item x="4"/>
        <item x="3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4"/>
    </i>
    <i>
      <x v="1"/>
    </i>
    <i r="1">
      <x v="3"/>
    </i>
    <i>
      <x v="2"/>
    </i>
    <i r="1">
      <x/>
    </i>
    <i r="1">
      <x v="4"/>
    </i>
    <i>
      <x v="3"/>
    </i>
    <i r="1">
      <x/>
    </i>
    <i>
      <x v="4"/>
    </i>
    <i r="1">
      <x v="3"/>
    </i>
    <i>
      <x v="5"/>
    </i>
    <i r="1">
      <x v="1"/>
    </i>
    <i r="1">
      <x v="2"/>
    </i>
    <i>
      <x v="6"/>
    </i>
    <i r="1">
      <x v="1"/>
    </i>
    <i r="1">
      <x v="4"/>
    </i>
    <i t="grand">
      <x/>
    </i>
  </rowItems>
  <colItems count="1">
    <i/>
  </colItems>
  <dataFields count="1">
    <dataField name="Total Hours" fld="2" baseField="0" baseItem="0" numFmtId="2"/>
  </dataFields>
  <pivotTableStyleInfo name="PivotStyleDark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1A987F-B222-492A-845C-32E8B498B9E4}" autoFormatId="16" applyNumberFormats="0" applyBorderFormats="0" applyFontFormats="0" applyPatternFormats="0" applyAlignmentFormats="0" applyWidthHeightFormats="0">
  <queryTableRefresh nextId="7">
    <queryTableFields count="6">
      <queryTableField id="1" name="City" tableColumnId="1"/>
      <queryTableField id="2" name="System/Service" tableColumnId="2"/>
      <queryTableField id="3" name="Hours to Date" tableColumnId="3"/>
      <queryTableField id="6" dataBound="0" tableColumnId="6"/>
      <queryTableField id="4" name="First Name" tableColumnId="4"/>
      <queryTableField id="5" name="Last 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CD41B3-2797-43E0-ACA5-ED28617B3273}" name="EllerText_04__27" displayName="EllerText_04__27" ref="A4:F31" tableType="queryTable" totalsRowShown="0">
  <autoFilter ref="A4:F31" xr:uid="{71CD41B3-2797-43E0-ACA5-ED28617B3273}"/>
  <tableColumns count="6">
    <tableColumn id="1" xr3:uid="{9AB4F26C-13FC-4F1F-96A7-99FD93FA9B36}" uniqueName="1" name="City" queryTableFieldId="1" dataDxfId="3"/>
    <tableColumn id="2" xr3:uid="{9D357FEE-8913-4F8A-A2F1-506E68A513EC}" uniqueName="2" name="System/Service" queryTableFieldId="2" dataDxfId="2"/>
    <tableColumn id="3" xr3:uid="{4143A401-74A9-4A41-9C72-F2F0F8A29BA9}" uniqueName="3" name="Hours to Date" queryTableFieldId="3"/>
    <tableColumn id="6" xr3:uid="{F86BD218-EE3C-43B2-BBDB-9BFBD536D20D}" uniqueName="6" name="Customer" queryTableFieldId="6"/>
    <tableColumn id="4" xr3:uid="{13F989E7-BE6B-4E87-9772-BA161E290802}" uniqueName="4" name="First Name" queryTableFieldId="4" dataDxfId="1"/>
    <tableColumn id="5" xr3:uid="{1B9AA8DB-66C9-4848-9B36-7982971DAF6C}" uniqueName="5" name="Last Nam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9F884-8E2C-43DA-8E05-E215EBCFD689}" name="Table1" displayName="Table1" ref="A4:E51" totalsRowShown="0" headerRowDxfId="16" headerRowBorderDxfId="20" tableBorderDxfId="21" totalsRowBorderDxfId="19" headerRowCellStyle="Normal#pfnQYTawpReDjHAUJwgiCmVDxK/Vtupn8FplbyAIfME=">
  <autoFilter ref="A4:E51" xr:uid="{6729F884-8E2C-43DA-8E05-E215EBCFD689}"/>
  <sortState xmlns:xlrd2="http://schemas.microsoft.com/office/spreadsheetml/2017/richdata2" ref="A5:E51">
    <sortCondition ref="B4:B51"/>
  </sortState>
  <tableColumns count="5">
    <tableColumn id="1" xr3:uid="{DCEBD1AF-A4DB-4C5D-98EA-1FD2CD4B87EA}" name="Client Name" dataDxfId="18" dataCellStyle="Normal#pfnQYTawpReDjHAUJwgiCmVDxK/Vtupn8FplbyAIfME="/>
    <tableColumn id="2" xr3:uid="{AF2B4EFC-6B4F-40A2-87FC-01C7E595B976}" name="Product/Service" dataDxfId="17" dataCellStyle="Normal#pfnQYTawpReDjHAUJwgiCmVDxK/Vtupn8FplbyAIfME="/>
    <tableColumn id="3" xr3:uid="{3A3101F2-B821-481D-84A0-D68E1A44A72E}" name="Date" dataDxfId="13" dataCellStyle="Normal#pfnQYTawpReDjHAUJwgiCmVDxK/Vtupn8FplbyAIfME="/>
    <tableColumn id="4" xr3:uid="{85434FEB-49A0-429D-8470-2B2B2DBF7495}" name="Billable" dataDxfId="15" dataCellStyle="Normal#pfnQYTawpReDjHAUJwgiCmVDxK/Vtupn8FplbyAIfME="/>
    <tableColumn id="5" xr3:uid="{C5267E47-8361-4859-9837-8310EA6DF701}" name=".5 Administrative" dataDxfId="14">
      <calculatedColumnFormula>D5+0.5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D69F0-9B51-47A0-AB93-481B466F268D}" name="Table13" displayName="Table13" ref="A4:E51" totalsRowShown="0" headerRowDxfId="12" headerRowBorderDxfId="10" tableBorderDxfId="11" totalsRowBorderDxfId="9" headerRowCellStyle="Normal#pfnQYTawpReDjHAUJwgiCmVDxK/Vtupn8FplbyAIfME=">
  <autoFilter ref="A4:E51" xr:uid="{D7FD69F0-9B51-47A0-AB93-481B466F268D}"/>
  <sortState xmlns:xlrd2="http://schemas.microsoft.com/office/spreadsheetml/2017/richdata2" ref="A5:E51">
    <sortCondition ref="B4:B51"/>
  </sortState>
  <tableColumns count="5">
    <tableColumn id="1" xr3:uid="{9E42E06A-BEB8-42E9-A39A-F92DE795C0CB}" name="Client Name" dataDxfId="8" dataCellStyle="Normal#pfnQYTawpReDjHAUJwgiCmVDxK/Vtupn8FplbyAIfME="/>
    <tableColumn id="2" xr3:uid="{AB6A51A7-5B65-442A-BDD8-19FC8C2182E1}" name="Product/Service" dataDxfId="7" dataCellStyle="Normal#pfnQYTawpReDjHAUJwgiCmVDxK/Vtupn8FplbyAIfME="/>
    <tableColumn id="3" xr3:uid="{473609DC-77E6-4C85-820F-D2F3328C7098}" name="Date" dataDxfId="6" dataCellStyle="Normal#pfnQYTawpReDjHAUJwgiCmVDxK/Vtupn8FplbyAIfME="/>
    <tableColumn id="4" xr3:uid="{5C89CD98-430C-4624-A055-A8C79D7821B7}" name="Billable" dataDxfId="5" dataCellStyle="Normal#pfnQYTawpReDjHAUJwgiCmVDxK/Vtupn8FplbyAIfME="/>
    <tableColumn id="5" xr3:uid="{67008700-E7E4-40C8-830B-1F6F750230E3}" name=".5 Administrative" dataDxfId="4">
      <calculatedColumnFormula>D5+0.5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EE2E-6D28-4DAC-A8C8-E1321021A6E3}">
  <dimension ref="A3:E23"/>
  <sheetViews>
    <sheetView workbookViewId="0">
      <selection activeCell="D4" sqref="D4"/>
    </sheetView>
  </sheetViews>
  <sheetFormatPr defaultRowHeight="14.5" x14ac:dyDescent="0.35"/>
  <cols>
    <col min="1" max="1" width="32.26953125" bestFit="1" customWidth="1"/>
    <col min="2" max="2" width="10.1796875" bestFit="1" customWidth="1"/>
    <col min="4" max="4" width="31.6328125" bestFit="1" customWidth="1"/>
    <col min="5" max="5" width="10.1796875" bestFit="1" customWidth="1"/>
  </cols>
  <sheetData>
    <row r="3" spans="1:5" x14ac:dyDescent="0.35">
      <c r="A3" s="20" t="s">
        <v>107</v>
      </c>
      <c r="B3" t="s">
        <v>134</v>
      </c>
      <c r="D3" s="20" t="s">
        <v>107</v>
      </c>
      <c r="E3" t="s">
        <v>134</v>
      </c>
    </row>
    <row r="4" spans="1:5" x14ac:dyDescent="0.35">
      <c r="A4" s="21" t="s">
        <v>45</v>
      </c>
      <c r="B4" s="15">
        <v>55</v>
      </c>
      <c r="D4" s="21" t="s">
        <v>34</v>
      </c>
      <c r="E4" s="15">
        <v>107</v>
      </c>
    </row>
    <row r="5" spans="1:5" x14ac:dyDescent="0.35">
      <c r="A5" s="22" t="s">
        <v>34</v>
      </c>
      <c r="B5" s="15">
        <v>14</v>
      </c>
      <c r="D5" s="22" t="s">
        <v>45</v>
      </c>
      <c r="E5" s="15">
        <v>14</v>
      </c>
    </row>
    <row r="6" spans="1:5" x14ac:dyDescent="0.35">
      <c r="A6" s="22" t="s">
        <v>35</v>
      </c>
      <c r="B6" s="15">
        <v>13</v>
      </c>
      <c r="D6" s="22" t="s">
        <v>51</v>
      </c>
      <c r="E6" s="15">
        <v>50</v>
      </c>
    </row>
    <row r="7" spans="1:5" x14ac:dyDescent="0.35">
      <c r="A7" s="22" t="s">
        <v>33</v>
      </c>
      <c r="B7" s="15">
        <v>28</v>
      </c>
      <c r="D7" s="22" t="s">
        <v>62</v>
      </c>
      <c r="E7" s="15">
        <v>43</v>
      </c>
    </row>
    <row r="8" spans="1:5" x14ac:dyDescent="0.35">
      <c r="A8" s="21" t="s">
        <v>54</v>
      </c>
      <c r="B8" s="15">
        <v>61</v>
      </c>
      <c r="D8" s="21" t="s">
        <v>35</v>
      </c>
      <c r="E8" s="15">
        <v>89</v>
      </c>
    </row>
    <row r="9" spans="1:5" x14ac:dyDescent="0.35">
      <c r="A9" s="22" t="s">
        <v>32</v>
      </c>
      <c r="B9" s="15">
        <v>61</v>
      </c>
      <c r="D9" s="22" t="s">
        <v>45</v>
      </c>
      <c r="E9" s="15">
        <v>13</v>
      </c>
    </row>
    <row r="10" spans="1:5" x14ac:dyDescent="0.35">
      <c r="A10" s="21" t="s">
        <v>51</v>
      </c>
      <c r="B10" s="15">
        <v>71</v>
      </c>
      <c r="D10" s="22" t="s">
        <v>57</v>
      </c>
      <c r="E10" s="15">
        <v>4</v>
      </c>
    </row>
    <row r="11" spans="1:5" x14ac:dyDescent="0.35">
      <c r="A11" s="22" t="s">
        <v>34</v>
      </c>
      <c r="B11" s="15">
        <v>50</v>
      </c>
      <c r="D11" s="22" t="s">
        <v>48</v>
      </c>
      <c r="E11" s="15">
        <v>72</v>
      </c>
    </row>
    <row r="12" spans="1:5" x14ac:dyDescent="0.35">
      <c r="A12" s="22" t="s">
        <v>33</v>
      </c>
      <c r="B12" s="15">
        <v>21</v>
      </c>
      <c r="D12" s="21" t="s">
        <v>12</v>
      </c>
      <c r="E12" s="15">
        <v>48</v>
      </c>
    </row>
    <row r="13" spans="1:5" x14ac:dyDescent="0.35">
      <c r="A13" s="21" t="s">
        <v>62</v>
      </c>
      <c r="B13" s="15">
        <v>43</v>
      </c>
      <c r="D13" s="22" t="s">
        <v>57</v>
      </c>
      <c r="E13" s="15">
        <v>48</v>
      </c>
    </row>
    <row r="14" spans="1:5" x14ac:dyDescent="0.35">
      <c r="A14" s="22" t="s">
        <v>34</v>
      </c>
      <c r="B14" s="15">
        <v>43</v>
      </c>
      <c r="D14" s="21" t="s">
        <v>32</v>
      </c>
      <c r="E14" s="15">
        <v>71</v>
      </c>
    </row>
    <row r="15" spans="1:5" x14ac:dyDescent="0.35">
      <c r="A15" s="21" t="s">
        <v>67</v>
      </c>
      <c r="B15" s="15">
        <v>10</v>
      </c>
      <c r="D15" s="22" t="s">
        <v>54</v>
      </c>
      <c r="E15" s="15">
        <v>61</v>
      </c>
    </row>
    <row r="16" spans="1:5" x14ac:dyDescent="0.35">
      <c r="A16" s="22" t="s">
        <v>32</v>
      </c>
      <c r="B16" s="15">
        <v>10</v>
      </c>
      <c r="D16" s="22" t="s">
        <v>67</v>
      </c>
      <c r="E16" s="15">
        <v>10</v>
      </c>
    </row>
    <row r="17" spans="1:5" x14ac:dyDescent="0.35">
      <c r="A17" s="21" t="s">
        <v>57</v>
      </c>
      <c r="B17" s="15">
        <v>52</v>
      </c>
      <c r="D17" s="21" t="s">
        <v>33</v>
      </c>
      <c r="E17" s="15">
        <v>96</v>
      </c>
    </row>
    <row r="18" spans="1:5" x14ac:dyDescent="0.35">
      <c r="A18" s="22" t="s">
        <v>35</v>
      </c>
      <c r="B18" s="15">
        <v>4</v>
      </c>
      <c r="D18" s="22" t="s">
        <v>45</v>
      </c>
      <c r="E18" s="15">
        <v>28</v>
      </c>
    </row>
    <row r="19" spans="1:5" x14ac:dyDescent="0.35">
      <c r="A19" s="22" t="s">
        <v>12</v>
      </c>
      <c r="B19" s="15">
        <v>48</v>
      </c>
      <c r="D19" s="22" t="s">
        <v>51</v>
      </c>
      <c r="E19" s="15">
        <v>21</v>
      </c>
    </row>
    <row r="20" spans="1:5" x14ac:dyDescent="0.35">
      <c r="A20" s="21" t="s">
        <v>48</v>
      </c>
      <c r="B20" s="15">
        <v>119</v>
      </c>
      <c r="D20" s="22" t="s">
        <v>48</v>
      </c>
      <c r="E20" s="15">
        <v>47</v>
      </c>
    </row>
    <row r="21" spans="1:5" x14ac:dyDescent="0.35">
      <c r="A21" s="22" t="s">
        <v>35</v>
      </c>
      <c r="B21" s="15">
        <v>72</v>
      </c>
      <c r="D21" s="21" t="s">
        <v>108</v>
      </c>
      <c r="E21" s="15">
        <v>411</v>
      </c>
    </row>
    <row r="22" spans="1:5" x14ac:dyDescent="0.35">
      <c r="A22" s="22" t="s">
        <v>33</v>
      </c>
      <c r="B22" s="15">
        <v>47</v>
      </c>
    </row>
    <row r="23" spans="1:5" x14ac:dyDescent="0.35">
      <c r="A23" s="21" t="s">
        <v>108</v>
      </c>
      <c r="B23" s="15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F1" sqref="F1:F1048576"/>
    </sheetView>
  </sheetViews>
  <sheetFormatPr defaultRowHeight="14.5" x14ac:dyDescent="0.35"/>
  <cols>
    <col min="1" max="1" width="11.81640625" style="1" bestFit="1" customWidth="1"/>
    <col min="2" max="2" width="28.81640625" style="1" bestFit="1" customWidth="1"/>
    <col min="3" max="3" width="14.26953125" style="1" bestFit="1" customWidth="1"/>
    <col min="4" max="4" width="11.26953125" style="1" bestFit="1" customWidth="1"/>
    <col min="5" max="5" width="12.08984375" style="1" hidden="1" customWidth="1"/>
    <col min="6" max="6" width="11.81640625" hidden="1" customWidth="1"/>
  </cols>
  <sheetData>
    <row r="1" spans="1:6" ht="26" x14ac:dyDescent="0.6">
      <c r="A1" s="18" t="s">
        <v>38</v>
      </c>
      <c r="B1" s="19"/>
      <c r="C1" s="19"/>
      <c r="D1" s="19"/>
    </row>
    <row r="2" spans="1:6" ht="26" x14ac:dyDescent="0.6">
      <c r="A2" s="18" t="s">
        <v>37</v>
      </c>
      <c r="B2" s="19"/>
      <c r="C2" s="19"/>
      <c r="D2" s="19"/>
    </row>
    <row r="4" spans="1:6" x14ac:dyDescent="0.35">
      <c r="A4" t="s">
        <v>40</v>
      </c>
      <c r="B4" t="s">
        <v>41</v>
      </c>
      <c r="C4" t="s">
        <v>42</v>
      </c>
      <c r="D4" t="s">
        <v>106</v>
      </c>
      <c r="E4" t="s">
        <v>43</v>
      </c>
      <c r="F4" t="s">
        <v>44</v>
      </c>
    </row>
    <row r="5" spans="1:6" x14ac:dyDescent="0.35">
      <c r="A5" s="16" t="s">
        <v>45</v>
      </c>
      <c r="B5" s="16" t="s">
        <v>33</v>
      </c>
      <c r="C5">
        <v>13</v>
      </c>
      <c r="D5" t="s">
        <v>104</v>
      </c>
      <c r="E5" s="16" t="s">
        <v>46</v>
      </c>
      <c r="F5" s="16" t="s">
        <v>47</v>
      </c>
    </row>
    <row r="6" spans="1:6" x14ac:dyDescent="0.35">
      <c r="A6" s="16" t="s">
        <v>48</v>
      </c>
      <c r="B6" s="16" t="s">
        <v>35</v>
      </c>
      <c r="C6">
        <v>22</v>
      </c>
      <c r="D6" t="s">
        <v>105</v>
      </c>
      <c r="E6" s="16" t="s">
        <v>49</v>
      </c>
      <c r="F6" s="16" t="s">
        <v>50</v>
      </c>
    </row>
    <row r="7" spans="1:6" x14ac:dyDescent="0.35">
      <c r="A7" s="16" t="s">
        <v>51</v>
      </c>
      <c r="B7" s="16" t="s">
        <v>34</v>
      </c>
      <c r="C7">
        <v>14</v>
      </c>
      <c r="D7" t="s">
        <v>109</v>
      </c>
      <c r="E7" s="16" t="s">
        <v>52</v>
      </c>
      <c r="F7" s="16" t="s">
        <v>53</v>
      </c>
    </row>
    <row r="8" spans="1:6" x14ac:dyDescent="0.35">
      <c r="A8" s="16" t="s">
        <v>54</v>
      </c>
      <c r="B8" s="16" t="s">
        <v>32</v>
      </c>
      <c r="C8">
        <v>14</v>
      </c>
      <c r="D8" t="s">
        <v>110</v>
      </c>
      <c r="E8" s="16" t="s">
        <v>55</v>
      </c>
      <c r="F8" s="16" t="s">
        <v>56</v>
      </c>
    </row>
    <row r="9" spans="1:6" x14ac:dyDescent="0.35">
      <c r="A9" s="16" t="s">
        <v>57</v>
      </c>
      <c r="B9" s="16" t="s">
        <v>12</v>
      </c>
      <c r="C9">
        <v>19</v>
      </c>
      <c r="D9" t="s">
        <v>111</v>
      </c>
      <c r="E9" s="16" t="s">
        <v>58</v>
      </c>
      <c r="F9" s="16" t="s">
        <v>59</v>
      </c>
    </row>
    <row r="10" spans="1:6" x14ac:dyDescent="0.35">
      <c r="A10" s="16" t="s">
        <v>48</v>
      </c>
      <c r="B10" s="16" t="s">
        <v>33</v>
      </c>
      <c r="C10">
        <v>20</v>
      </c>
      <c r="D10" t="s">
        <v>112</v>
      </c>
      <c r="E10" s="16" t="s">
        <v>60</v>
      </c>
      <c r="F10" s="16" t="s">
        <v>61</v>
      </c>
    </row>
    <row r="11" spans="1:6" x14ac:dyDescent="0.35">
      <c r="A11" s="16" t="s">
        <v>62</v>
      </c>
      <c r="B11" s="16" t="s">
        <v>34</v>
      </c>
      <c r="C11">
        <v>25</v>
      </c>
      <c r="D11" t="s">
        <v>113</v>
      </c>
      <c r="E11" s="16" t="s">
        <v>63</v>
      </c>
      <c r="F11" s="16" t="s">
        <v>64</v>
      </c>
    </row>
    <row r="12" spans="1:6" x14ac:dyDescent="0.35">
      <c r="A12" s="16" t="s">
        <v>45</v>
      </c>
      <c r="B12" s="16" t="s">
        <v>35</v>
      </c>
      <c r="C12">
        <v>13</v>
      </c>
      <c r="D12" t="s">
        <v>114</v>
      </c>
      <c r="E12" s="16" t="s">
        <v>65</v>
      </c>
      <c r="F12" s="16" t="s">
        <v>66</v>
      </c>
    </row>
    <row r="13" spans="1:6" x14ac:dyDescent="0.35">
      <c r="A13" s="16" t="s">
        <v>67</v>
      </c>
      <c r="B13" s="16" t="s">
        <v>32</v>
      </c>
      <c r="C13">
        <v>10</v>
      </c>
      <c r="D13" t="s">
        <v>115</v>
      </c>
      <c r="E13" s="16" t="s">
        <v>68</v>
      </c>
      <c r="F13" s="16" t="s">
        <v>69</v>
      </c>
    </row>
    <row r="14" spans="1:6" x14ac:dyDescent="0.35">
      <c r="A14" s="16" t="s">
        <v>48</v>
      </c>
      <c r="B14" s="16" t="s">
        <v>35</v>
      </c>
      <c r="C14">
        <v>15</v>
      </c>
      <c r="D14" t="s">
        <v>116</v>
      </c>
      <c r="E14" s="16" t="s">
        <v>70</v>
      </c>
      <c r="F14" s="16" t="s">
        <v>71</v>
      </c>
    </row>
    <row r="15" spans="1:6" x14ac:dyDescent="0.35">
      <c r="A15" s="16" t="s">
        <v>57</v>
      </c>
      <c r="B15" s="16" t="s">
        <v>12</v>
      </c>
      <c r="C15">
        <v>14</v>
      </c>
      <c r="D15" t="s">
        <v>117</v>
      </c>
      <c r="E15" s="16" t="s">
        <v>72</v>
      </c>
      <c r="F15" s="16" t="s">
        <v>73</v>
      </c>
    </row>
    <row r="16" spans="1:6" x14ac:dyDescent="0.35">
      <c r="A16" s="16" t="s">
        <v>51</v>
      </c>
      <c r="B16" s="16" t="s">
        <v>33</v>
      </c>
      <c r="C16">
        <v>21</v>
      </c>
      <c r="D16" t="s">
        <v>118</v>
      </c>
      <c r="E16" s="16" t="s">
        <v>74</v>
      </c>
      <c r="F16" s="16" t="s">
        <v>75</v>
      </c>
    </row>
    <row r="17" spans="1:6" x14ac:dyDescent="0.35">
      <c r="A17" s="16" t="s">
        <v>62</v>
      </c>
      <c r="B17" s="16" t="s">
        <v>34</v>
      </c>
      <c r="C17">
        <v>18</v>
      </c>
      <c r="D17" t="s">
        <v>119</v>
      </c>
      <c r="E17" s="16" t="s">
        <v>76</v>
      </c>
      <c r="F17" s="16" t="s">
        <v>77</v>
      </c>
    </row>
    <row r="18" spans="1:6" x14ac:dyDescent="0.35">
      <c r="A18" s="16" t="s">
        <v>57</v>
      </c>
      <c r="B18" s="16" t="s">
        <v>12</v>
      </c>
      <c r="C18">
        <v>15</v>
      </c>
      <c r="D18" t="s">
        <v>120</v>
      </c>
      <c r="E18" s="16" t="s">
        <v>77</v>
      </c>
      <c r="F18" s="16" t="s">
        <v>78</v>
      </c>
    </row>
    <row r="19" spans="1:6" x14ac:dyDescent="0.35">
      <c r="A19" s="16" t="s">
        <v>45</v>
      </c>
      <c r="B19" s="16" t="s">
        <v>33</v>
      </c>
      <c r="C19">
        <v>15</v>
      </c>
      <c r="D19" t="s">
        <v>121</v>
      </c>
      <c r="E19" s="16" t="s">
        <v>79</v>
      </c>
      <c r="F19" s="16" t="s">
        <v>80</v>
      </c>
    </row>
    <row r="20" spans="1:6" x14ac:dyDescent="0.35">
      <c r="A20" s="16" t="s">
        <v>54</v>
      </c>
      <c r="B20" s="16" t="s">
        <v>32</v>
      </c>
      <c r="C20">
        <v>8</v>
      </c>
      <c r="D20" t="s">
        <v>122</v>
      </c>
      <c r="E20" s="16" t="s">
        <v>81</v>
      </c>
      <c r="F20" s="16" t="s">
        <v>82</v>
      </c>
    </row>
    <row r="21" spans="1:6" x14ac:dyDescent="0.35">
      <c r="A21" s="16" t="s">
        <v>48</v>
      </c>
      <c r="B21" s="16" t="s">
        <v>33</v>
      </c>
      <c r="C21">
        <v>17</v>
      </c>
      <c r="D21" t="s">
        <v>123</v>
      </c>
      <c r="E21" s="16" t="s">
        <v>83</v>
      </c>
      <c r="F21" s="16" t="s">
        <v>84</v>
      </c>
    </row>
    <row r="22" spans="1:6" x14ac:dyDescent="0.35">
      <c r="A22" s="16" t="s">
        <v>48</v>
      </c>
      <c r="B22" s="16" t="s">
        <v>35</v>
      </c>
      <c r="C22">
        <v>23</v>
      </c>
      <c r="D22" t="s">
        <v>124</v>
      </c>
      <c r="E22" s="16" t="s">
        <v>85</v>
      </c>
      <c r="F22" s="16" t="s">
        <v>86</v>
      </c>
    </row>
    <row r="23" spans="1:6" x14ac:dyDescent="0.35">
      <c r="A23" s="16" t="s">
        <v>51</v>
      </c>
      <c r="B23" s="16" t="s">
        <v>34</v>
      </c>
      <c r="C23">
        <v>25</v>
      </c>
      <c r="D23" t="s">
        <v>125</v>
      </c>
      <c r="E23" s="16" t="s">
        <v>87</v>
      </c>
      <c r="F23" s="16" t="s">
        <v>88</v>
      </c>
    </row>
    <row r="24" spans="1:6" x14ac:dyDescent="0.35">
      <c r="A24" s="16" t="s">
        <v>54</v>
      </c>
      <c r="B24" s="16" t="s">
        <v>32</v>
      </c>
      <c r="C24">
        <v>19</v>
      </c>
      <c r="D24" t="s">
        <v>126</v>
      </c>
      <c r="E24" s="16" t="s">
        <v>89</v>
      </c>
      <c r="F24" s="16" t="s">
        <v>90</v>
      </c>
    </row>
    <row r="25" spans="1:6" x14ac:dyDescent="0.35">
      <c r="A25" s="16" t="s">
        <v>57</v>
      </c>
      <c r="B25" s="16" t="s">
        <v>35</v>
      </c>
      <c r="C25">
        <v>4</v>
      </c>
      <c r="D25" t="s">
        <v>127</v>
      </c>
      <c r="E25" s="16" t="s">
        <v>77</v>
      </c>
      <c r="F25" s="16" t="s">
        <v>91</v>
      </c>
    </row>
    <row r="26" spans="1:6" x14ac:dyDescent="0.35">
      <c r="A26" s="16" t="s">
        <v>45</v>
      </c>
      <c r="B26" s="16" t="s">
        <v>34</v>
      </c>
      <c r="C26">
        <v>14</v>
      </c>
      <c r="D26" t="s">
        <v>128</v>
      </c>
      <c r="E26" s="16" t="s">
        <v>92</v>
      </c>
      <c r="F26" s="16" t="s">
        <v>93</v>
      </c>
    </row>
    <row r="27" spans="1:6" x14ac:dyDescent="0.35">
      <c r="A27" s="16" t="s">
        <v>54</v>
      </c>
      <c r="B27" s="16" t="s">
        <v>32</v>
      </c>
      <c r="C27">
        <v>5</v>
      </c>
      <c r="D27" t="s">
        <v>129</v>
      </c>
      <c r="E27" s="16" t="s">
        <v>94</v>
      </c>
      <c r="F27" s="16" t="s">
        <v>95</v>
      </c>
    </row>
    <row r="28" spans="1:6" x14ac:dyDescent="0.35">
      <c r="A28" s="16" t="s">
        <v>48</v>
      </c>
      <c r="B28" s="16" t="s">
        <v>33</v>
      </c>
      <c r="C28">
        <v>10</v>
      </c>
      <c r="D28" t="s">
        <v>130</v>
      </c>
      <c r="E28" s="16" t="s">
        <v>96</v>
      </c>
      <c r="F28" s="16" t="s">
        <v>97</v>
      </c>
    </row>
    <row r="29" spans="1:6" x14ac:dyDescent="0.35">
      <c r="A29" s="16" t="s">
        <v>48</v>
      </c>
      <c r="B29" s="16" t="s">
        <v>35</v>
      </c>
      <c r="C29">
        <v>12</v>
      </c>
      <c r="D29" t="s">
        <v>131</v>
      </c>
      <c r="E29" s="16" t="s">
        <v>98</v>
      </c>
      <c r="F29" s="16" t="s">
        <v>99</v>
      </c>
    </row>
    <row r="30" spans="1:6" x14ac:dyDescent="0.35">
      <c r="A30" s="16" t="s">
        <v>51</v>
      </c>
      <c r="B30" s="16" t="s">
        <v>34</v>
      </c>
      <c r="C30">
        <v>11</v>
      </c>
      <c r="D30" t="s">
        <v>132</v>
      </c>
      <c r="E30" s="16" t="s">
        <v>100</v>
      </c>
      <c r="F30" s="16" t="s">
        <v>101</v>
      </c>
    </row>
    <row r="31" spans="1:6" x14ac:dyDescent="0.35">
      <c r="A31" s="16" t="s">
        <v>54</v>
      </c>
      <c r="B31" s="16" t="s">
        <v>32</v>
      </c>
      <c r="C31">
        <v>15</v>
      </c>
      <c r="D31" t="s">
        <v>133</v>
      </c>
      <c r="E31" s="16" t="s">
        <v>102</v>
      </c>
      <c r="F31" s="16" t="s">
        <v>103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opLeftCell="A20" workbookViewId="0">
      <selection sqref="A1:E51"/>
    </sheetView>
  </sheetViews>
  <sheetFormatPr defaultRowHeight="14.5" x14ac:dyDescent="0.35"/>
  <cols>
    <col min="1" max="1" width="18.453125" style="1" customWidth="1"/>
    <col min="2" max="2" width="31.81640625" style="1" customWidth="1"/>
    <col min="3" max="3" width="10.7265625" style="1" customWidth="1"/>
    <col min="4" max="4" width="9.81640625" style="1" customWidth="1"/>
    <col min="5" max="5" width="8.7265625" style="15"/>
    <col min="6" max="6" width="9.7265625" style="1" customWidth="1"/>
  </cols>
  <sheetData>
    <row r="1" spans="1:6" ht="26" x14ac:dyDescent="0.6">
      <c r="A1" s="2" t="s">
        <v>38</v>
      </c>
      <c r="B1" s="3"/>
      <c r="C1" s="3"/>
      <c r="D1" s="3"/>
    </row>
    <row r="2" spans="1:6" ht="26" x14ac:dyDescent="0.6">
      <c r="A2" s="2" t="s">
        <v>36</v>
      </c>
      <c r="B2" s="3"/>
      <c r="C2" s="3"/>
      <c r="D2" s="3"/>
      <c r="F2" s="4">
        <f ca="1">TODAY()</f>
        <v>46288</v>
      </c>
    </row>
    <row r="4" spans="1:6" x14ac:dyDescent="0.35">
      <c r="A4" s="9" t="s">
        <v>0</v>
      </c>
      <c r="B4" s="10" t="s">
        <v>1</v>
      </c>
      <c r="C4" s="10" t="s">
        <v>2</v>
      </c>
      <c r="D4" s="11" t="s">
        <v>3</v>
      </c>
      <c r="E4" s="17" t="s">
        <v>39</v>
      </c>
    </row>
    <row r="5" spans="1:6" x14ac:dyDescent="0.35">
      <c r="A5" s="7" t="s">
        <v>8</v>
      </c>
      <c r="B5" s="5" t="s">
        <v>34</v>
      </c>
      <c r="C5" s="6">
        <v>46334</v>
      </c>
      <c r="D5" s="8">
        <v>5</v>
      </c>
      <c r="E5" s="15">
        <f>D5+0.5</f>
        <v>5.5</v>
      </c>
    </row>
    <row r="6" spans="1:6" x14ac:dyDescent="0.35">
      <c r="A6" s="7" t="s">
        <v>8</v>
      </c>
      <c r="B6" s="5" t="s">
        <v>34</v>
      </c>
      <c r="C6" s="6">
        <v>46333</v>
      </c>
      <c r="D6" s="8">
        <v>6</v>
      </c>
      <c r="E6" s="15">
        <f>D6+0.5</f>
        <v>6.5</v>
      </c>
    </row>
    <row r="7" spans="1:6" x14ac:dyDescent="0.35">
      <c r="A7" s="7" t="s">
        <v>8</v>
      </c>
      <c r="B7" s="5" t="s">
        <v>34</v>
      </c>
      <c r="C7" s="6">
        <v>46332</v>
      </c>
      <c r="D7" s="8">
        <v>5</v>
      </c>
      <c r="E7" s="15">
        <f>D7+0.5</f>
        <v>5.5</v>
      </c>
    </row>
    <row r="8" spans="1:6" x14ac:dyDescent="0.35">
      <c r="A8" s="7" t="s">
        <v>19</v>
      </c>
      <c r="B8" s="5" t="s">
        <v>34</v>
      </c>
      <c r="C8" s="6">
        <v>46326</v>
      </c>
      <c r="D8" s="8">
        <v>5</v>
      </c>
      <c r="E8" s="15">
        <f>D8+0.5</f>
        <v>5.5</v>
      </c>
    </row>
    <row r="9" spans="1:6" x14ac:dyDescent="0.35">
      <c r="A9" s="7" t="s">
        <v>19</v>
      </c>
      <c r="B9" s="5" t="s">
        <v>34</v>
      </c>
      <c r="C9" s="6">
        <v>46325</v>
      </c>
      <c r="D9" s="8">
        <v>5</v>
      </c>
      <c r="E9" s="15">
        <f>D9+0.5</f>
        <v>5.5</v>
      </c>
    </row>
    <row r="10" spans="1:6" x14ac:dyDescent="0.35">
      <c r="A10" s="7" t="s">
        <v>14</v>
      </c>
      <c r="B10" s="5" t="s">
        <v>34</v>
      </c>
      <c r="C10" s="6">
        <v>46310</v>
      </c>
      <c r="D10" s="8">
        <v>4</v>
      </c>
      <c r="E10" s="15">
        <f>D10+0.5</f>
        <v>4.5</v>
      </c>
    </row>
    <row r="11" spans="1:6" x14ac:dyDescent="0.35">
      <c r="A11" s="7" t="s">
        <v>14</v>
      </c>
      <c r="B11" s="5" t="s">
        <v>34</v>
      </c>
      <c r="C11" s="6">
        <v>46309</v>
      </c>
      <c r="D11" s="8">
        <v>5</v>
      </c>
      <c r="E11" s="15">
        <f>D11+0.5</f>
        <v>5.5</v>
      </c>
    </row>
    <row r="12" spans="1:6" x14ac:dyDescent="0.35">
      <c r="A12" s="7" t="s">
        <v>5</v>
      </c>
      <c r="B12" s="5" t="s">
        <v>34</v>
      </c>
      <c r="C12" s="6">
        <v>46308</v>
      </c>
      <c r="D12" s="8">
        <v>5.5</v>
      </c>
      <c r="E12" s="15">
        <f>D12+0.5</f>
        <v>6</v>
      </c>
    </row>
    <row r="13" spans="1:6" x14ac:dyDescent="0.35">
      <c r="A13" s="7" t="s">
        <v>5</v>
      </c>
      <c r="B13" s="5" t="s">
        <v>34</v>
      </c>
      <c r="C13" s="6">
        <v>46307</v>
      </c>
      <c r="D13" s="8">
        <v>3.5</v>
      </c>
      <c r="E13" s="15">
        <f>D13+0.5</f>
        <v>4</v>
      </c>
    </row>
    <row r="14" spans="1:6" x14ac:dyDescent="0.35">
      <c r="A14" s="7" t="s">
        <v>16</v>
      </c>
      <c r="B14" s="5" t="s">
        <v>34</v>
      </c>
      <c r="C14" s="6">
        <v>46298</v>
      </c>
      <c r="D14" s="8">
        <v>5</v>
      </c>
      <c r="E14" s="15">
        <f>D14+0.5</f>
        <v>5.5</v>
      </c>
    </row>
    <row r="15" spans="1:6" x14ac:dyDescent="0.35">
      <c r="A15" s="7" t="s">
        <v>25</v>
      </c>
      <c r="B15" s="5" t="s">
        <v>34</v>
      </c>
      <c r="C15" s="6">
        <v>46289</v>
      </c>
      <c r="D15" s="8">
        <v>5</v>
      </c>
      <c r="E15" s="15">
        <f>D15+0.5</f>
        <v>5.5</v>
      </c>
    </row>
    <row r="16" spans="1:6" x14ac:dyDescent="0.35">
      <c r="A16" s="7" t="s">
        <v>30</v>
      </c>
      <c r="B16" s="5" t="s">
        <v>35</v>
      </c>
      <c r="C16" s="6">
        <v>46324</v>
      </c>
      <c r="D16" s="8">
        <v>2.75</v>
      </c>
      <c r="E16" s="15">
        <f>D16+0.5</f>
        <v>3.25</v>
      </c>
    </row>
    <row r="17" spans="1:5" x14ac:dyDescent="0.35">
      <c r="A17" s="7" t="s">
        <v>10</v>
      </c>
      <c r="B17" s="5" t="s">
        <v>35</v>
      </c>
      <c r="C17" s="6">
        <v>46321</v>
      </c>
      <c r="D17" s="8">
        <v>3</v>
      </c>
      <c r="E17" s="15">
        <f>D17+0.5</f>
        <v>3.5</v>
      </c>
    </row>
    <row r="18" spans="1:5" x14ac:dyDescent="0.35">
      <c r="A18" s="7" t="s">
        <v>10</v>
      </c>
      <c r="B18" s="5" t="s">
        <v>35</v>
      </c>
      <c r="C18" s="6">
        <v>46320</v>
      </c>
      <c r="D18" s="8">
        <v>4.5</v>
      </c>
      <c r="E18" s="15">
        <f>D18+0.5</f>
        <v>5</v>
      </c>
    </row>
    <row r="19" spans="1:5" x14ac:dyDescent="0.35">
      <c r="A19" s="7" t="s">
        <v>6</v>
      </c>
      <c r="B19" s="5" t="s">
        <v>35</v>
      </c>
      <c r="C19" s="6">
        <v>46314</v>
      </c>
      <c r="D19" s="8">
        <v>4.5</v>
      </c>
      <c r="E19" s="15">
        <f>D19+0.5</f>
        <v>5</v>
      </c>
    </row>
    <row r="20" spans="1:5" x14ac:dyDescent="0.35">
      <c r="A20" s="7" t="s">
        <v>6</v>
      </c>
      <c r="B20" s="5" t="s">
        <v>35</v>
      </c>
      <c r="C20" s="6">
        <v>46313</v>
      </c>
      <c r="D20" s="8">
        <v>4.75</v>
      </c>
      <c r="E20" s="15">
        <f>D20+0.5</f>
        <v>5.25</v>
      </c>
    </row>
    <row r="21" spans="1:5" x14ac:dyDescent="0.35">
      <c r="A21" s="7" t="s">
        <v>29</v>
      </c>
      <c r="B21" s="5" t="s">
        <v>35</v>
      </c>
      <c r="C21" s="6">
        <v>46297</v>
      </c>
      <c r="D21" s="8">
        <v>3.5</v>
      </c>
      <c r="E21" s="15">
        <f>D21+0.5</f>
        <v>4</v>
      </c>
    </row>
    <row r="22" spans="1:5" x14ac:dyDescent="0.35">
      <c r="A22" s="7" t="s">
        <v>15</v>
      </c>
      <c r="B22" s="5" t="s">
        <v>35</v>
      </c>
      <c r="C22" s="6">
        <v>46296</v>
      </c>
      <c r="D22" s="8">
        <v>8</v>
      </c>
      <c r="E22" s="15">
        <f>D22+0.5</f>
        <v>8.5</v>
      </c>
    </row>
    <row r="23" spans="1:5" x14ac:dyDescent="0.35">
      <c r="A23" s="7" t="s">
        <v>21</v>
      </c>
      <c r="B23" s="5" t="s">
        <v>35</v>
      </c>
      <c r="C23" s="6">
        <v>46291</v>
      </c>
      <c r="D23" s="8">
        <v>6</v>
      </c>
      <c r="E23" s="15">
        <f>D23+0.5</f>
        <v>6.5</v>
      </c>
    </row>
    <row r="24" spans="1:5" x14ac:dyDescent="0.35">
      <c r="A24" s="7" t="s">
        <v>21</v>
      </c>
      <c r="B24" s="5" t="s">
        <v>35</v>
      </c>
      <c r="C24" s="6">
        <v>46290</v>
      </c>
      <c r="D24" s="8">
        <v>3</v>
      </c>
      <c r="E24" s="15">
        <f>D24+0.5</f>
        <v>3.5</v>
      </c>
    </row>
    <row r="25" spans="1:5" x14ac:dyDescent="0.35">
      <c r="A25" s="7" t="s">
        <v>13</v>
      </c>
      <c r="B25" s="5" t="s">
        <v>12</v>
      </c>
      <c r="C25" s="6">
        <v>46328</v>
      </c>
      <c r="D25" s="8">
        <v>8</v>
      </c>
      <c r="E25" s="15">
        <f>D25+0.5</f>
        <v>8.5</v>
      </c>
    </row>
    <row r="26" spans="1:5" x14ac:dyDescent="0.35">
      <c r="A26" s="7" t="s">
        <v>13</v>
      </c>
      <c r="B26" s="5" t="s">
        <v>12</v>
      </c>
      <c r="C26" s="6">
        <v>46327</v>
      </c>
      <c r="D26" s="8">
        <v>6</v>
      </c>
      <c r="E26" s="15">
        <f>D26+0.5</f>
        <v>6.5</v>
      </c>
    </row>
    <row r="27" spans="1:5" x14ac:dyDescent="0.35">
      <c r="A27" s="7" t="s">
        <v>11</v>
      </c>
      <c r="B27" s="5" t="s">
        <v>12</v>
      </c>
      <c r="C27" s="6">
        <v>46323</v>
      </c>
      <c r="D27" s="8">
        <v>6</v>
      </c>
      <c r="E27" s="15">
        <f>D27+0.5</f>
        <v>6.5</v>
      </c>
    </row>
    <row r="28" spans="1:5" x14ac:dyDescent="0.35">
      <c r="A28" s="7" t="s">
        <v>11</v>
      </c>
      <c r="B28" s="5" t="s">
        <v>12</v>
      </c>
      <c r="C28" s="6">
        <v>46322</v>
      </c>
      <c r="D28" s="8">
        <v>7</v>
      </c>
      <c r="E28" s="15">
        <f>D28+0.5</f>
        <v>7.5</v>
      </c>
    </row>
    <row r="29" spans="1:5" x14ac:dyDescent="0.35">
      <c r="A29" s="7" t="s">
        <v>23</v>
      </c>
      <c r="B29" s="5" t="s">
        <v>12</v>
      </c>
      <c r="C29" s="6">
        <v>46293</v>
      </c>
      <c r="D29" s="8">
        <v>6</v>
      </c>
      <c r="E29" s="15">
        <f>D29+0.5</f>
        <v>6.5</v>
      </c>
    </row>
    <row r="30" spans="1:5" x14ac:dyDescent="0.35">
      <c r="A30" s="7" t="s">
        <v>23</v>
      </c>
      <c r="B30" s="5" t="s">
        <v>12</v>
      </c>
      <c r="C30" s="6">
        <v>46292</v>
      </c>
      <c r="D30" s="8">
        <v>4</v>
      </c>
      <c r="E30" s="15">
        <f>D30+0.5</f>
        <v>4.5</v>
      </c>
    </row>
    <row r="31" spans="1:5" x14ac:dyDescent="0.35">
      <c r="A31" s="7" t="s">
        <v>17</v>
      </c>
      <c r="B31" s="5" t="s">
        <v>32</v>
      </c>
      <c r="C31" s="6">
        <v>46329</v>
      </c>
      <c r="D31" s="8">
        <v>6.5</v>
      </c>
      <c r="E31" s="15">
        <f>D31+0.5</f>
        <v>7</v>
      </c>
    </row>
    <row r="32" spans="1:5" x14ac:dyDescent="0.35">
      <c r="A32" s="7" t="s">
        <v>31</v>
      </c>
      <c r="B32" s="5" t="s">
        <v>32</v>
      </c>
      <c r="C32" s="6">
        <v>46315</v>
      </c>
      <c r="D32" s="8">
        <v>3.25</v>
      </c>
      <c r="E32" s="15">
        <f>D32+0.5</f>
        <v>3.75</v>
      </c>
    </row>
    <row r="33" spans="1:5" x14ac:dyDescent="0.35">
      <c r="A33" s="7" t="s">
        <v>20</v>
      </c>
      <c r="B33" s="5" t="s">
        <v>32</v>
      </c>
      <c r="C33" s="6">
        <v>46312</v>
      </c>
      <c r="D33" s="8">
        <v>4</v>
      </c>
      <c r="E33" s="15">
        <f>D33+0.5</f>
        <v>4.5</v>
      </c>
    </row>
    <row r="34" spans="1:5" x14ac:dyDescent="0.35">
      <c r="A34" s="7" t="s">
        <v>20</v>
      </c>
      <c r="B34" s="5" t="s">
        <v>32</v>
      </c>
      <c r="C34" s="6">
        <v>46311</v>
      </c>
      <c r="D34" s="8">
        <v>4</v>
      </c>
      <c r="E34" s="15">
        <f>D34+0.5</f>
        <v>4.5</v>
      </c>
    </row>
    <row r="35" spans="1:5" x14ac:dyDescent="0.35">
      <c r="A35" s="7" t="s">
        <v>27</v>
      </c>
      <c r="B35" s="5" t="s">
        <v>32</v>
      </c>
      <c r="C35" s="6">
        <v>46305</v>
      </c>
      <c r="D35" s="8">
        <v>4.5</v>
      </c>
      <c r="E35" s="15">
        <f>D35+0.5</f>
        <v>5</v>
      </c>
    </row>
    <row r="36" spans="1:5" x14ac:dyDescent="0.35">
      <c r="A36" s="7" t="s">
        <v>24</v>
      </c>
      <c r="B36" s="5" t="s">
        <v>32</v>
      </c>
      <c r="C36" s="6">
        <v>46304</v>
      </c>
      <c r="D36" s="8">
        <v>3.5</v>
      </c>
      <c r="E36" s="15">
        <f>D36+0.5</f>
        <v>4</v>
      </c>
    </row>
    <row r="37" spans="1:5" x14ac:dyDescent="0.35">
      <c r="A37" s="7" t="s">
        <v>22</v>
      </c>
      <c r="B37" s="5" t="s">
        <v>32</v>
      </c>
      <c r="C37" s="6">
        <v>46295</v>
      </c>
      <c r="D37" s="8">
        <v>4</v>
      </c>
      <c r="E37" s="15">
        <f>D37+0.5</f>
        <v>4.5</v>
      </c>
    </row>
    <row r="38" spans="1:5" x14ac:dyDescent="0.35">
      <c r="A38" s="7" t="s">
        <v>22</v>
      </c>
      <c r="B38" s="5" t="s">
        <v>32</v>
      </c>
      <c r="C38" s="6">
        <v>46294</v>
      </c>
      <c r="D38" s="8">
        <v>2</v>
      </c>
      <c r="E38" s="15">
        <f>D38+0.5</f>
        <v>2.5</v>
      </c>
    </row>
    <row r="39" spans="1:5" x14ac:dyDescent="0.35">
      <c r="A39" s="7" t="s">
        <v>7</v>
      </c>
      <c r="B39" s="5" t="s">
        <v>33</v>
      </c>
      <c r="C39" s="6">
        <v>46331</v>
      </c>
      <c r="D39" s="8">
        <v>5</v>
      </c>
      <c r="E39" s="15">
        <f>D39+0.5</f>
        <v>5.5</v>
      </c>
    </row>
    <row r="40" spans="1:5" x14ac:dyDescent="0.35">
      <c r="A40" s="7" t="s">
        <v>7</v>
      </c>
      <c r="B40" s="5" t="s">
        <v>33</v>
      </c>
      <c r="C40" s="6">
        <v>46330</v>
      </c>
      <c r="D40" s="8">
        <v>4</v>
      </c>
      <c r="E40" s="15">
        <f>D40+0.5</f>
        <v>4.5</v>
      </c>
    </row>
    <row r="41" spans="1:5" x14ac:dyDescent="0.35">
      <c r="A41" s="7" t="s">
        <v>9</v>
      </c>
      <c r="B41" s="5" t="s">
        <v>33</v>
      </c>
      <c r="C41" s="6">
        <v>46319</v>
      </c>
      <c r="D41" s="8">
        <v>4</v>
      </c>
      <c r="E41" s="15">
        <f>D41+0.5</f>
        <v>4.5</v>
      </c>
    </row>
    <row r="42" spans="1:5" x14ac:dyDescent="0.35">
      <c r="A42" s="7" t="s">
        <v>9</v>
      </c>
      <c r="B42" s="5" t="s">
        <v>33</v>
      </c>
      <c r="C42" s="6">
        <v>46318</v>
      </c>
      <c r="D42" s="8">
        <v>4</v>
      </c>
      <c r="E42" s="15">
        <f>D42+0.5</f>
        <v>4.5</v>
      </c>
    </row>
    <row r="43" spans="1:5" x14ac:dyDescent="0.35">
      <c r="A43" s="7" t="s">
        <v>9</v>
      </c>
      <c r="B43" s="5" t="s">
        <v>33</v>
      </c>
      <c r="C43" s="6">
        <v>46317</v>
      </c>
      <c r="D43" s="8">
        <v>4</v>
      </c>
      <c r="E43" s="15">
        <f>D43+0.5</f>
        <v>4.5</v>
      </c>
    </row>
    <row r="44" spans="1:5" x14ac:dyDescent="0.35">
      <c r="A44" s="7" t="s">
        <v>9</v>
      </c>
      <c r="B44" s="5" t="s">
        <v>33</v>
      </c>
      <c r="C44" s="6">
        <v>46316</v>
      </c>
      <c r="D44" s="8">
        <v>4</v>
      </c>
      <c r="E44" s="15">
        <f>D44+0.5</f>
        <v>4.5</v>
      </c>
    </row>
    <row r="45" spans="1:5" x14ac:dyDescent="0.35">
      <c r="A45" s="7" t="s">
        <v>28</v>
      </c>
      <c r="B45" s="5" t="s">
        <v>33</v>
      </c>
      <c r="C45" s="6">
        <v>46306</v>
      </c>
      <c r="D45" s="8">
        <v>4</v>
      </c>
      <c r="E45" s="15">
        <f>D45+0.5</f>
        <v>4.5</v>
      </c>
    </row>
    <row r="46" spans="1:5" x14ac:dyDescent="0.35">
      <c r="A46" s="7" t="s">
        <v>18</v>
      </c>
      <c r="B46" s="5" t="s">
        <v>33</v>
      </c>
      <c r="C46" s="6">
        <v>46303</v>
      </c>
      <c r="D46" s="8">
        <v>5</v>
      </c>
      <c r="E46" s="15">
        <f>D46+0.5</f>
        <v>5.5</v>
      </c>
    </row>
    <row r="47" spans="1:5" x14ac:dyDescent="0.35">
      <c r="A47" s="7" t="s">
        <v>18</v>
      </c>
      <c r="B47" s="5" t="s">
        <v>33</v>
      </c>
      <c r="C47" s="6">
        <v>46302</v>
      </c>
      <c r="D47" s="8">
        <v>5</v>
      </c>
      <c r="E47" s="15">
        <f>D47+0.5</f>
        <v>5.5</v>
      </c>
    </row>
    <row r="48" spans="1:5" x14ac:dyDescent="0.35">
      <c r="A48" s="7" t="s">
        <v>18</v>
      </c>
      <c r="B48" s="5" t="s">
        <v>33</v>
      </c>
      <c r="C48" s="6">
        <v>46301</v>
      </c>
      <c r="D48" s="8">
        <v>5</v>
      </c>
      <c r="E48" s="15">
        <f>D48+0.5</f>
        <v>5.5</v>
      </c>
    </row>
    <row r="49" spans="1:5" x14ac:dyDescent="0.35">
      <c r="A49" s="7" t="s">
        <v>4</v>
      </c>
      <c r="B49" s="5" t="s">
        <v>33</v>
      </c>
      <c r="C49" s="6">
        <v>46300</v>
      </c>
      <c r="D49" s="8">
        <v>3.25</v>
      </c>
      <c r="E49" s="15">
        <f>D49+0.5</f>
        <v>3.75</v>
      </c>
    </row>
    <row r="50" spans="1:5" x14ac:dyDescent="0.35">
      <c r="A50" s="7" t="s">
        <v>4</v>
      </c>
      <c r="B50" s="5" t="s">
        <v>33</v>
      </c>
      <c r="C50" s="6">
        <v>46299</v>
      </c>
      <c r="D50" s="8">
        <v>4.5</v>
      </c>
      <c r="E50" s="15">
        <f>D50+0.5</f>
        <v>5</v>
      </c>
    </row>
    <row r="51" spans="1:5" x14ac:dyDescent="0.35">
      <c r="A51" s="12" t="s">
        <v>26</v>
      </c>
      <c r="B51" s="13" t="s">
        <v>33</v>
      </c>
      <c r="C51" s="6">
        <v>46288</v>
      </c>
      <c r="D51" s="14">
        <v>4</v>
      </c>
      <c r="E51" s="15">
        <f>D51+0.5</f>
        <v>4.5</v>
      </c>
    </row>
  </sheetData>
  <sortState xmlns:xlrd2="http://schemas.microsoft.com/office/spreadsheetml/2017/richdata2" ref="A5:D51">
    <sortCondition ref="A5:A5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9AB2-FC4C-42C1-AD94-D12B7EB19771}">
  <dimension ref="A1:D57"/>
  <sheetViews>
    <sheetView tabSelected="1" workbookViewId="0">
      <selection activeCell="B1" sqref="B1:B1048576"/>
    </sheetView>
  </sheetViews>
  <sheetFormatPr defaultRowHeight="14.5" outlineLevelRow="2" x14ac:dyDescent="0.35"/>
  <cols>
    <col min="1" max="1" width="34.453125" bestFit="1" customWidth="1"/>
    <col min="2" max="2" width="10.08984375" hidden="1" customWidth="1"/>
    <col min="3" max="3" width="7.1796875" bestFit="1" customWidth="1"/>
    <col min="4" max="4" width="15.08984375" bestFit="1" customWidth="1"/>
  </cols>
  <sheetData>
    <row r="1" spans="1:4" ht="26" x14ac:dyDescent="0.6">
      <c r="A1" s="2" t="s">
        <v>38</v>
      </c>
      <c r="B1" s="3"/>
      <c r="C1" s="3"/>
      <c r="D1" s="23"/>
    </row>
    <row r="2" spans="1:4" ht="26" x14ac:dyDescent="0.6">
      <c r="A2" s="2" t="s">
        <v>36</v>
      </c>
      <c r="B2" s="3"/>
      <c r="C2" s="3"/>
      <c r="D2" s="23"/>
    </row>
    <row r="3" spans="1:4" x14ac:dyDescent="0.35">
      <c r="A3" s="1"/>
      <c r="B3" s="1"/>
      <c r="C3" s="1"/>
      <c r="D3" s="15"/>
    </row>
    <row r="4" spans="1:4" x14ac:dyDescent="0.35">
      <c r="A4" s="25" t="s">
        <v>1</v>
      </c>
      <c r="B4" s="25" t="s">
        <v>2</v>
      </c>
      <c r="C4" s="25" t="s">
        <v>3</v>
      </c>
      <c r="D4" s="26" t="s">
        <v>39</v>
      </c>
    </row>
    <row r="5" spans="1:4" hidden="1" outlineLevel="2" x14ac:dyDescent="0.35">
      <c r="A5" s="27" t="s">
        <v>34</v>
      </c>
      <c r="B5" s="28">
        <v>46334</v>
      </c>
      <c r="C5" s="24">
        <v>5</v>
      </c>
      <c r="D5" s="29">
        <f>C5+0.5</f>
        <v>5.5</v>
      </c>
    </row>
    <row r="6" spans="1:4" hidden="1" outlineLevel="2" x14ac:dyDescent="0.35">
      <c r="A6" s="27" t="s">
        <v>34</v>
      </c>
      <c r="B6" s="28">
        <v>46333</v>
      </c>
      <c r="C6" s="24">
        <v>6</v>
      </c>
      <c r="D6" s="29">
        <f>C6+0.5</f>
        <v>6.5</v>
      </c>
    </row>
    <row r="7" spans="1:4" hidden="1" outlineLevel="2" x14ac:dyDescent="0.35">
      <c r="A7" s="27" t="s">
        <v>34</v>
      </c>
      <c r="B7" s="28">
        <v>46332</v>
      </c>
      <c r="C7" s="24">
        <v>5</v>
      </c>
      <c r="D7" s="29">
        <f>C7+0.5</f>
        <v>5.5</v>
      </c>
    </row>
    <row r="8" spans="1:4" hidden="1" outlineLevel="2" x14ac:dyDescent="0.35">
      <c r="A8" s="27" t="s">
        <v>34</v>
      </c>
      <c r="B8" s="28">
        <v>46326</v>
      </c>
      <c r="C8" s="24">
        <v>5</v>
      </c>
      <c r="D8" s="29">
        <f>C8+0.5</f>
        <v>5.5</v>
      </c>
    </row>
    <row r="9" spans="1:4" hidden="1" outlineLevel="2" x14ac:dyDescent="0.35">
      <c r="A9" s="27" t="s">
        <v>34</v>
      </c>
      <c r="B9" s="28">
        <v>46325</v>
      </c>
      <c r="C9" s="24">
        <v>5</v>
      </c>
      <c r="D9" s="29">
        <f>C9+0.5</f>
        <v>5.5</v>
      </c>
    </row>
    <row r="10" spans="1:4" hidden="1" outlineLevel="2" x14ac:dyDescent="0.35">
      <c r="A10" s="27" t="s">
        <v>34</v>
      </c>
      <c r="B10" s="28">
        <v>46310</v>
      </c>
      <c r="C10" s="24">
        <v>4</v>
      </c>
      <c r="D10" s="29">
        <f>C10+0.5</f>
        <v>4.5</v>
      </c>
    </row>
    <row r="11" spans="1:4" hidden="1" outlineLevel="2" x14ac:dyDescent="0.35">
      <c r="A11" s="27" t="s">
        <v>34</v>
      </c>
      <c r="B11" s="28">
        <v>46309</v>
      </c>
      <c r="C11" s="24">
        <v>5</v>
      </c>
      <c r="D11" s="29">
        <f>C11+0.5</f>
        <v>5.5</v>
      </c>
    </row>
    <row r="12" spans="1:4" hidden="1" outlineLevel="2" x14ac:dyDescent="0.35">
      <c r="A12" s="27" t="s">
        <v>34</v>
      </c>
      <c r="B12" s="28">
        <v>46308</v>
      </c>
      <c r="C12" s="24">
        <v>5.5</v>
      </c>
      <c r="D12" s="29">
        <f>C12+0.5</f>
        <v>6</v>
      </c>
    </row>
    <row r="13" spans="1:4" hidden="1" outlineLevel="2" x14ac:dyDescent="0.35">
      <c r="A13" s="27" t="s">
        <v>34</v>
      </c>
      <c r="B13" s="28">
        <v>46307</v>
      </c>
      <c r="C13" s="24">
        <v>3.5</v>
      </c>
      <c r="D13" s="29">
        <f>C13+0.5</f>
        <v>4</v>
      </c>
    </row>
    <row r="14" spans="1:4" hidden="1" outlineLevel="2" x14ac:dyDescent="0.35">
      <c r="A14" s="27" t="s">
        <v>34</v>
      </c>
      <c r="B14" s="28">
        <v>46298</v>
      </c>
      <c r="C14" s="24">
        <v>5</v>
      </c>
      <c r="D14" s="29">
        <f>C14+0.5</f>
        <v>5.5</v>
      </c>
    </row>
    <row r="15" spans="1:4" hidden="1" outlineLevel="2" x14ac:dyDescent="0.35">
      <c r="A15" s="27" t="s">
        <v>34</v>
      </c>
      <c r="B15" s="28">
        <v>46289</v>
      </c>
      <c r="C15" s="24">
        <v>5</v>
      </c>
      <c r="D15" s="29">
        <f>C15+0.5</f>
        <v>5.5</v>
      </c>
    </row>
    <row r="16" spans="1:4" outlineLevel="1" collapsed="1" x14ac:dyDescent="0.35">
      <c r="A16" s="25" t="s">
        <v>135</v>
      </c>
      <c r="B16" s="28"/>
      <c r="C16" s="24">
        <f>SUBTOTAL(9,C5:C15)</f>
        <v>54</v>
      </c>
      <c r="D16" s="29">
        <f>SUBTOTAL(9,D5:D15)</f>
        <v>59.5</v>
      </c>
    </row>
    <row r="17" spans="1:4" hidden="1" outlineLevel="2" x14ac:dyDescent="0.35">
      <c r="A17" s="27" t="s">
        <v>35</v>
      </c>
      <c r="B17" s="28">
        <v>46324</v>
      </c>
      <c r="C17" s="24">
        <v>2.75</v>
      </c>
      <c r="D17" s="29">
        <f>C17+0.5</f>
        <v>3.25</v>
      </c>
    </row>
    <row r="18" spans="1:4" hidden="1" outlineLevel="2" x14ac:dyDescent="0.35">
      <c r="A18" s="27" t="s">
        <v>35</v>
      </c>
      <c r="B18" s="28">
        <v>46321</v>
      </c>
      <c r="C18" s="24">
        <v>3</v>
      </c>
      <c r="D18" s="29">
        <f>C18+0.5</f>
        <v>3.5</v>
      </c>
    </row>
    <row r="19" spans="1:4" hidden="1" outlineLevel="2" x14ac:dyDescent="0.35">
      <c r="A19" s="27" t="s">
        <v>35</v>
      </c>
      <c r="B19" s="28">
        <v>46320</v>
      </c>
      <c r="C19" s="24">
        <v>4.5</v>
      </c>
      <c r="D19" s="29">
        <f>C19+0.5</f>
        <v>5</v>
      </c>
    </row>
    <row r="20" spans="1:4" hidden="1" outlineLevel="2" x14ac:dyDescent="0.35">
      <c r="A20" s="27" t="s">
        <v>35</v>
      </c>
      <c r="B20" s="28">
        <v>46314</v>
      </c>
      <c r="C20" s="24">
        <v>4.5</v>
      </c>
      <c r="D20" s="29">
        <f>C20+0.5</f>
        <v>5</v>
      </c>
    </row>
    <row r="21" spans="1:4" hidden="1" outlineLevel="2" x14ac:dyDescent="0.35">
      <c r="A21" s="27" t="s">
        <v>35</v>
      </c>
      <c r="B21" s="28">
        <v>46313</v>
      </c>
      <c r="C21" s="24">
        <v>4.75</v>
      </c>
      <c r="D21" s="29">
        <f>C21+0.5</f>
        <v>5.25</v>
      </c>
    </row>
    <row r="22" spans="1:4" hidden="1" outlineLevel="2" x14ac:dyDescent="0.35">
      <c r="A22" s="27" t="s">
        <v>35</v>
      </c>
      <c r="B22" s="28">
        <v>46297</v>
      </c>
      <c r="C22" s="24">
        <v>3.5</v>
      </c>
      <c r="D22" s="29">
        <f>C22+0.5</f>
        <v>4</v>
      </c>
    </row>
    <row r="23" spans="1:4" hidden="1" outlineLevel="2" x14ac:dyDescent="0.35">
      <c r="A23" s="27" t="s">
        <v>35</v>
      </c>
      <c r="B23" s="28">
        <v>46296</v>
      </c>
      <c r="C23" s="24">
        <v>8</v>
      </c>
      <c r="D23" s="29">
        <f>C23+0.5</f>
        <v>8.5</v>
      </c>
    </row>
    <row r="24" spans="1:4" hidden="1" outlineLevel="2" x14ac:dyDescent="0.35">
      <c r="A24" s="27" t="s">
        <v>35</v>
      </c>
      <c r="B24" s="28">
        <v>46291</v>
      </c>
      <c r="C24" s="24">
        <v>6</v>
      </c>
      <c r="D24" s="29">
        <f>C24+0.5</f>
        <v>6.5</v>
      </c>
    </row>
    <row r="25" spans="1:4" hidden="1" outlineLevel="2" x14ac:dyDescent="0.35">
      <c r="A25" s="27" t="s">
        <v>35</v>
      </c>
      <c r="B25" s="28">
        <v>46290</v>
      </c>
      <c r="C25" s="24">
        <v>3</v>
      </c>
      <c r="D25" s="29">
        <f>C25+0.5</f>
        <v>3.5</v>
      </c>
    </row>
    <row r="26" spans="1:4" outlineLevel="1" collapsed="1" x14ac:dyDescent="0.35">
      <c r="A26" s="25" t="s">
        <v>136</v>
      </c>
      <c r="B26" s="28"/>
      <c r="C26" s="24">
        <f>SUBTOTAL(9,C17:C25)</f>
        <v>40</v>
      </c>
      <c r="D26" s="29">
        <f>SUBTOTAL(9,D17:D25)</f>
        <v>44.5</v>
      </c>
    </row>
    <row r="27" spans="1:4" hidden="1" outlineLevel="2" x14ac:dyDescent="0.35">
      <c r="A27" s="27" t="s">
        <v>12</v>
      </c>
      <c r="B27" s="28">
        <v>46328</v>
      </c>
      <c r="C27" s="24">
        <v>8</v>
      </c>
      <c r="D27" s="29">
        <f>C27+0.5</f>
        <v>8.5</v>
      </c>
    </row>
    <row r="28" spans="1:4" hidden="1" outlineLevel="2" x14ac:dyDescent="0.35">
      <c r="A28" s="27" t="s">
        <v>12</v>
      </c>
      <c r="B28" s="28">
        <v>46327</v>
      </c>
      <c r="C28" s="24">
        <v>6</v>
      </c>
      <c r="D28" s="29">
        <f>C28+0.5</f>
        <v>6.5</v>
      </c>
    </row>
    <row r="29" spans="1:4" hidden="1" outlineLevel="2" x14ac:dyDescent="0.35">
      <c r="A29" s="27" t="s">
        <v>12</v>
      </c>
      <c r="B29" s="28">
        <v>46323</v>
      </c>
      <c r="C29" s="24">
        <v>6</v>
      </c>
      <c r="D29" s="29">
        <f>C29+0.5</f>
        <v>6.5</v>
      </c>
    </row>
    <row r="30" spans="1:4" hidden="1" outlineLevel="2" x14ac:dyDescent="0.35">
      <c r="A30" s="27" t="s">
        <v>12</v>
      </c>
      <c r="B30" s="28">
        <v>46322</v>
      </c>
      <c r="C30" s="24">
        <v>7</v>
      </c>
      <c r="D30" s="29">
        <f>C30+0.5</f>
        <v>7.5</v>
      </c>
    </row>
    <row r="31" spans="1:4" hidden="1" outlineLevel="2" x14ac:dyDescent="0.35">
      <c r="A31" s="27" t="s">
        <v>12</v>
      </c>
      <c r="B31" s="28">
        <v>46293</v>
      </c>
      <c r="C31" s="24">
        <v>6</v>
      </c>
      <c r="D31" s="29">
        <f>C31+0.5</f>
        <v>6.5</v>
      </c>
    </row>
    <row r="32" spans="1:4" hidden="1" outlineLevel="2" x14ac:dyDescent="0.35">
      <c r="A32" s="27" t="s">
        <v>12</v>
      </c>
      <c r="B32" s="28">
        <v>46292</v>
      </c>
      <c r="C32" s="24">
        <v>4</v>
      </c>
      <c r="D32" s="29">
        <f>C32+0.5</f>
        <v>4.5</v>
      </c>
    </row>
    <row r="33" spans="1:4" outlineLevel="1" collapsed="1" x14ac:dyDescent="0.35">
      <c r="A33" s="25" t="s">
        <v>137</v>
      </c>
      <c r="B33" s="28"/>
      <c r="C33" s="24">
        <f>SUBTOTAL(9,C27:C32)</f>
        <v>37</v>
      </c>
      <c r="D33" s="29">
        <f>SUBTOTAL(9,D27:D32)</f>
        <v>40</v>
      </c>
    </row>
    <row r="34" spans="1:4" hidden="1" outlineLevel="2" x14ac:dyDescent="0.35">
      <c r="A34" s="27" t="s">
        <v>32</v>
      </c>
      <c r="B34" s="28">
        <v>46329</v>
      </c>
      <c r="C34" s="24">
        <v>6.5</v>
      </c>
      <c r="D34" s="29">
        <f>C34+0.5</f>
        <v>7</v>
      </c>
    </row>
    <row r="35" spans="1:4" hidden="1" outlineLevel="2" x14ac:dyDescent="0.35">
      <c r="A35" s="27" t="s">
        <v>32</v>
      </c>
      <c r="B35" s="28">
        <v>46315</v>
      </c>
      <c r="C35" s="24">
        <v>3.25</v>
      </c>
      <c r="D35" s="29">
        <f>C35+0.5</f>
        <v>3.75</v>
      </c>
    </row>
    <row r="36" spans="1:4" hidden="1" outlineLevel="2" x14ac:dyDescent="0.35">
      <c r="A36" s="27" t="s">
        <v>32</v>
      </c>
      <c r="B36" s="28">
        <v>46312</v>
      </c>
      <c r="C36" s="24">
        <v>4</v>
      </c>
      <c r="D36" s="29">
        <f>C36+0.5</f>
        <v>4.5</v>
      </c>
    </row>
    <row r="37" spans="1:4" hidden="1" outlineLevel="2" x14ac:dyDescent="0.35">
      <c r="A37" s="27" t="s">
        <v>32</v>
      </c>
      <c r="B37" s="28">
        <v>46311</v>
      </c>
      <c r="C37" s="24">
        <v>4</v>
      </c>
      <c r="D37" s="29">
        <f>C37+0.5</f>
        <v>4.5</v>
      </c>
    </row>
    <row r="38" spans="1:4" hidden="1" outlineLevel="2" x14ac:dyDescent="0.35">
      <c r="A38" s="27" t="s">
        <v>32</v>
      </c>
      <c r="B38" s="28">
        <v>46305</v>
      </c>
      <c r="C38" s="24">
        <v>4.5</v>
      </c>
      <c r="D38" s="29">
        <f>C38+0.5</f>
        <v>5</v>
      </c>
    </row>
    <row r="39" spans="1:4" hidden="1" outlineLevel="2" x14ac:dyDescent="0.35">
      <c r="A39" s="27" t="s">
        <v>32</v>
      </c>
      <c r="B39" s="28">
        <v>46304</v>
      </c>
      <c r="C39" s="24">
        <v>3.5</v>
      </c>
      <c r="D39" s="29">
        <f>C39+0.5</f>
        <v>4</v>
      </c>
    </row>
    <row r="40" spans="1:4" hidden="1" outlineLevel="2" x14ac:dyDescent="0.35">
      <c r="A40" s="27" t="s">
        <v>32</v>
      </c>
      <c r="B40" s="28">
        <v>46295</v>
      </c>
      <c r="C40" s="24">
        <v>4</v>
      </c>
      <c r="D40" s="29">
        <f>C40+0.5</f>
        <v>4.5</v>
      </c>
    </row>
    <row r="41" spans="1:4" hidden="1" outlineLevel="2" x14ac:dyDescent="0.35">
      <c r="A41" s="27" t="s">
        <v>32</v>
      </c>
      <c r="B41" s="28">
        <v>46294</v>
      </c>
      <c r="C41" s="24">
        <v>2</v>
      </c>
      <c r="D41" s="29">
        <f>C41+0.5</f>
        <v>2.5</v>
      </c>
    </row>
    <row r="42" spans="1:4" outlineLevel="1" collapsed="1" x14ac:dyDescent="0.35">
      <c r="A42" s="25" t="s">
        <v>138</v>
      </c>
      <c r="B42" s="28"/>
      <c r="C42" s="24">
        <f>SUBTOTAL(9,C34:C41)</f>
        <v>31.75</v>
      </c>
      <c r="D42" s="29">
        <f>SUBTOTAL(9,D34:D41)</f>
        <v>35.75</v>
      </c>
    </row>
    <row r="43" spans="1:4" hidden="1" outlineLevel="2" x14ac:dyDescent="0.35">
      <c r="A43" s="27" t="s">
        <v>33</v>
      </c>
      <c r="B43" s="28">
        <v>46331</v>
      </c>
      <c r="C43" s="24">
        <v>5</v>
      </c>
      <c r="D43" s="29">
        <f>C43+0.5</f>
        <v>5.5</v>
      </c>
    </row>
    <row r="44" spans="1:4" hidden="1" outlineLevel="2" x14ac:dyDescent="0.35">
      <c r="A44" s="27" t="s">
        <v>33</v>
      </c>
      <c r="B44" s="28">
        <v>46330</v>
      </c>
      <c r="C44" s="24">
        <v>4</v>
      </c>
      <c r="D44" s="29">
        <f>C44+0.5</f>
        <v>4.5</v>
      </c>
    </row>
    <row r="45" spans="1:4" hidden="1" outlineLevel="2" x14ac:dyDescent="0.35">
      <c r="A45" s="27" t="s">
        <v>33</v>
      </c>
      <c r="B45" s="28">
        <v>46319</v>
      </c>
      <c r="C45" s="24">
        <v>4</v>
      </c>
      <c r="D45" s="29">
        <f>C45+0.5</f>
        <v>4.5</v>
      </c>
    </row>
    <row r="46" spans="1:4" hidden="1" outlineLevel="2" x14ac:dyDescent="0.35">
      <c r="A46" s="27" t="s">
        <v>33</v>
      </c>
      <c r="B46" s="28">
        <v>46318</v>
      </c>
      <c r="C46" s="24">
        <v>4</v>
      </c>
      <c r="D46" s="29">
        <f>C46+0.5</f>
        <v>4.5</v>
      </c>
    </row>
    <row r="47" spans="1:4" hidden="1" outlineLevel="2" x14ac:dyDescent="0.35">
      <c r="A47" s="27" t="s">
        <v>33</v>
      </c>
      <c r="B47" s="28">
        <v>46317</v>
      </c>
      <c r="C47" s="24">
        <v>4</v>
      </c>
      <c r="D47" s="29">
        <f>C47+0.5</f>
        <v>4.5</v>
      </c>
    </row>
    <row r="48" spans="1:4" hidden="1" outlineLevel="2" x14ac:dyDescent="0.35">
      <c r="A48" s="27" t="s">
        <v>33</v>
      </c>
      <c r="B48" s="28">
        <v>46316</v>
      </c>
      <c r="C48" s="24">
        <v>4</v>
      </c>
      <c r="D48" s="29">
        <f>C48+0.5</f>
        <v>4.5</v>
      </c>
    </row>
    <row r="49" spans="1:4" hidden="1" outlineLevel="2" x14ac:dyDescent="0.35">
      <c r="A49" s="27" t="s">
        <v>33</v>
      </c>
      <c r="B49" s="28">
        <v>46306</v>
      </c>
      <c r="C49" s="24">
        <v>4</v>
      </c>
      <c r="D49" s="29">
        <f>C49+0.5</f>
        <v>4.5</v>
      </c>
    </row>
    <row r="50" spans="1:4" hidden="1" outlineLevel="2" x14ac:dyDescent="0.35">
      <c r="A50" s="27" t="s">
        <v>33</v>
      </c>
      <c r="B50" s="28">
        <v>46303</v>
      </c>
      <c r="C50" s="24">
        <v>5</v>
      </c>
      <c r="D50" s="29">
        <f>C50+0.5</f>
        <v>5.5</v>
      </c>
    </row>
    <row r="51" spans="1:4" hidden="1" outlineLevel="2" x14ac:dyDescent="0.35">
      <c r="A51" s="27" t="s">
        <v>33</v>
      </c>
      <c r="B51" s="28">
        <v>46302</v>
      </c>
      <c r="C51" s="24">
        <v>5</v>
      </c>
      <c r="D51" s="29">
        <f>C51+0.5</f>
        <v>5.5</v>
      </c>
    </row>
    <row r="52" spans="1:4" hidden="1" outlineLevel="2" x14ac:dyDescent="0.35">
      <c r="A52" s="27" t="s">
        <v>33</v>
      </c>
      <c r="B52" s="28">
        <v>46301</v>
      </c>
      <c r="C52" s="24">
        <v>5</v>
      </c>
      <c r="D52" s="29">
        <f>C52+0.5</f>
        <v>5.5</v>
      </c>
    </row>
    <row r="53" spans="1:4" hidden="1" outlineLevel="2" x14ac:dyDescent="0.35">
      <c r="A53" s="27" t="s">
        <v>33</v>
      </c>
      <c r="B53" s="28">
        <v>46300</v>
      </c>
      <c r="C53" s="24">
        <v>3.25</v>
      </c>
      <c r="D53" s="29">
        <f>C53+0.5</f>
        <v>3.75</v>
      </c>
    </row>
    <row r="54" spans="1:4" hidden="1" outlineLevel="2" x14ac:dyDescent="0.35">
      <c r="A54" s="27" t="s">
        <v>33</v>
      </c>
      <c r="B54" s="28">
        <v>46299</v>
      </c>
      <c r="C54" s="24">
        <v>4.5</v>
      </c>
      <c r="D54" s="29">
        <f>C54+0.5</f>
        <v>5</v>
      </c>
    </row>
    <row r="55" spans="1:4" hidden="1" outlineLevel="2" x14ac:dyDescent="0.35">
      <c r="A55" s="27" t="s">
        <v>33</v>
      </c>
      <c r="B55" s="28">
        <v>46288</v>
      </c>
      <c r="C55" s="24">
        <v>4</v>
      </c>
      <c r="D55" s="29">
        <f>C55+0.5</f>
        <v>4.5</v>
      </c>
    </row>
    <row r="56" spans="1:4" outlineLevel="1" collapsed="1" x14ac:dyDescent="0.35">
      <c r="A56" s="25" t="s">
        <v>139</v>
      </c>
      <c r="B56" s="28"/>
      <c r="C56" s="24">
        <f>SUBTOTAL(9,C43:C55)</f>
        <v>55.75</v>
      </c>
      <c r="D56" s="29">
        <f>SUBTOTAL(9,D43:D55)</f>
        <v>62.25</v>
      </c>
    </row>
    <row r="57" spans="1:4" x14ac:dyDescent="0.35">
      <c r="A57" s="25" t="s">
        <v>108</v>
      </c>
      <c r="B57" s="28"/>
      <c r="C57" s="24">
        <f>SUBTOTAL(9,C5:C55)</f>
        <v>218.5</v>
      </c>
      <c r="D57" s="29">
        <f>SUBTOTAL(9,D5:D55)</f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537F-A6CF-4C8C-B927-D2140CB3546B}">
  <dimension ref="A1:E51"/>
  <sheetViews>
    <sheetView workbookViewId="0"/>
  </sheetViews>
  <sheetFormatPr defaultRowHeight="14.5" x14ac:dyDescent="0.35"/>
  <cols>
    <col min="1" max="1" width="16.36328125" bestFit="1" customWidth="1"/>
    <col min="2" max="2" width="28.81640625" bestFit="1" customWidth="1"/>
    <col min="3" max="3" width="10.08984375" bestFit="1" customWidth="1"/>
    <col min="4" max="4" width="9.453125" bestFit="1" customWidth="1"/>
    <col min="5" max="5" width="17.36328125" bestFit="1" customWidth="1"/>
  </cols>
  <sheetData>
    <row r="1" spans="1:5" ht="26" x14ac:dyDescent="0.6">
      <c r="A1" s="2" t="s">
        <v>38</v>
      </c>
      <c r="B1" s="3"/>
      <c r="C1" s="3"/>
      <c r="D1" s="3"/>
      <c r="E1" s="15"/>
    </row>
    <row r="2" spans="1:5" ht="26" x14ac:dyDescent="0.6">
      <c r="A2" s="2" t="s">
        <v>36</v>
      </c>
      <c r="B2" s="3"/>
      <c r="C2" s="3"/>
      <c r="D2" s="3"/>
      <c r="E2" s="15"/>
    </row>
    <row r="3" spans="1:5" x14ac:dyDescent="0.35">
      <c r="A3" s="1"/>
      <c r="B3" s="1"/>
      <c r="C3" s="1"/>
      <c r="D3" s="1"/>
      <c r="E3" s="15"/>
    </row>
    <row r="4" spans="1:5" x14ac:dyDescent="0.35">
      <c r="A4" s="9" t="s">
        <v>0</v>
      </c>
      <c r="B4" s="10" t="s">
        <v>1</v>
      </c>
      <c r="C4" s="10" t="s">
        <v>2</v>
      </c>
      <c r="D4" s="11" t="s">
        <v>3</v>
      </c>
      <c r="E4" s="17" t="s">
        <v>39</v>
      </c>
    </row>
    <row r="5" spans="1:5" x14ac:dyDescent="0.35">
      <c r="A5" s="7" t="s">
        <v>8</v>
      </c>
      <c r="B5" s="5" t="s">
        <v>34</v>
      </c>
      <c r="C5" s="6">
        <v>46334</v>
      </c>
      <c r="D5" s="8">
        <v>5</v>
      </c>
      <c r="E5" s="15">
        <f>D5+0.5</f>
        <v>5.5</v>
      </c>
    </row>
    <row r="6" spans="1:5" x14ac:dyDescent="0.35">
      <c r="A6" s="7" t="s">
        <v>8</v>
      </c>
      <c r="B6" s="5" t="s">
        <v>34</v>
      </c>
      <c r="C6" s="6">
        <v>46333</v>
      </c>
      <c r="D6" s="8">
        <v>6</v>
      </c>
      <c r="E6" s="15">
        <f>D6+0.5</f>
        <v>6.5</v>
      </c>
    </row>
    <row r="7" spans="1:5" x14ac:dyDescent="0.35">
      <c r="A7" s="7" t="s">
        <v>8</v>
      </c>
      <c r="B7" s="5" t="s">
        <v>34</v>
      </c>
      <c r="C7" s="6">
        <v>46332</v>
      </c>
      <c r="D7" s="8">
        <v>5</v>
      </c>
      <c r="E7" s="15">
        <f>D7+0.5</f>
        <v>5.5</v>
      </c>
    </row>
    <row r="8" spans="1:5" x14ac:dyDescent="0.35">
      <c r="A8" s="7" t="s">
        <v>19</v>
      </c>
      <c r="B8" s="5" t="s">
        <v>34</v>
      </c>
      <c r="C8" s="6">
        <v>46326</v>
      </c>
      <c r="D8" s="8">
        <v>5</v>
      </c>
      <c r="E8" s="15">
        <f>D8+0.5</f>
        <v>5.5</v>
      </c>
    </row>
    <row r="9" spans="1:5" x14ac:dyDescent="0.35">
      <c r="A9" s="7" t="s">
        <v>19</v>
      </c>
      <c r="B9" s="5" t="s">
        <v>34</v>
      </c>
      <c r="C9" s="6">
        <v>46325</v>
      </c>
      <c r="D9" s="8">
        <v>5</v>
      </c>
      <c r="E9" s="15">
        <f>D9+0.5</f>
        <v>5.5</v>
      </c>
    </row>
    <row r="10" spans="1:5" x14ac:dyDescent="0.35">
      <c r="A10" s="7" t="s">
        <v>14</v>
      </c>
      <c r="B10" s="5" t="s">
        <v>34</v>
      </c>
      <c r="C10" s="6">
        <v>46310</v>
      </c>
      <c r="D10" s="8">
        <v>4</v>
      </c>
      <c r="E10" s="15">
        <f>D10+0.5</f>
        <v>4.5</v>
      </c>
    </row>
    <row r="11" spans="1:5" x14ac:dyDescent="0.35">
      <c r="A11" s="7" t="s">
        <v>14</v>
      </c>
      <c r="B11" s="5" t="s">
        <v>34</v>
      </c>
      <c r="C11" s="6">
        <v>46309</v>
      </c>
      <c r="D11" s="8">
        <v>5</v>
      </c>
      <c r="E11" s="15">
        <f>D11+0.5</f>
        <v>5.5</v>
      </c>
    </row>
    <row r="12" spans="1:5" x14ac:dyDescent="0.35">
      <c r="A12" s="7" t="s">
        <v>5</v>
      </c>
      <c r="B12" s="5" t="s">
        <v>34</v>
      </c>
      <c r="C12" s="6">
        <v>46308</v>
      </c>
      <c r="D12" s="8">
        <v>5.5</v>
      </c>
      <c r="E12" s="15">
        <f>D12+0.5</f>
        <v>6</v>
      </c>
    </row>
    <row r="13" spans="1:5" x14ac:dyDescent="0.35">
      <c r="A13" s="7" t="s">
        <v>5</v>
      </c>
      <c r="B13" s="5" t="s">
        <v>34</v>
      </c>
      <c r="C13" s="6">
        <v>46307</v>
      </c>
      <c r="D13" s="8">
        <v>3.5</v>
      </c>
      <c r="E13" s="15">
        <f>D13+0.5</f>
        <v>4</v>
      </c>
    </row>
    <row r="14" spans="1:5" x14ac:dyDescent="0.35">
      <c r="A14" s="7" t="s">
        <v>16</v>
      </c>
      <c r="B14" s="5" t="s">
        <v>34</v>
      </c>
      <c r="C14" s="6">
        <v>46298</v>
      </c>
      <c r="D14" s="8">
        <v>5</v>
      </c>
      <c r="E14" s="15">
        <f>D14+0.5</f>
        <v>5.5</v>
      </c>
    </row>
    <row r="15" spans="1:5" x14ac:dyDescent="0.35">
      <c r="A15" s="7" t="s">
        <v>25</v>
      </c>
      <c r="B15" s="5" t="s">
        <v>34</v>
      </c>
      <c r="C15" s="6">
        <v>46289</v>
      </c>
      <c r="D15" s="8">
        <v>5</v>
      </c>
      <c r="E15" s="15">
        <f>D15+0.5</f>
        <v>5.5</v>
      </c>
    </row>
    <row r="16" spans="1:5" x14ac:dyDescent="0.35">
      <c r="A16" s="7" t="s">
        <v>30</v>
      </c>
      <c r="B16" s="5" t="s">
        <v>35</v>
      </c>
      <c r="C16" s="6">
        <v>46324</v>
      </c>
      <c r="D16" s="8">
        <v>2.75</v>
      </c>
      <c r="E16" s="15">
        <f>D16+0.5</f>
        <v>3.25</v>
      </c>
    </row>
    <row r="17" spans="1:5" x14ac:dyDescent="0.35">
      <c r="A17" s="7" t="s">
        <v>10</v>
      </c>
      <c r="B17" s="5" t="s">
        <v>35</v>
      </c>
      <c r="C17" s="6">
        <v>46321</v>
      </c>
      <c r="D17" s="8">
        <v>3</v>
      </c>
      <c r="E17" s="15">
        <f>D17+0.5</f>
        <v>3.5</v>
      </c>
    </row>
    <row r="18" spans="1:5" x14ac:dyDescent="0.35">
      <c r="A18" s="7" t="s">
        <v>10</v>
      </c>
      <c r="B18" s="5" t="s">
        <v>35</v>
      </c>
      <c r="C18" s="6">
        <v>46320</v>
      </c>
      <c r="D18" s="8">
        <v>4.5</v>
      </c>
      <c r="E18" s="15">
        <f>D18+0.5</f>
        <v>5</v>
      </c>
    </row>
    <row r="19" spans="1:5" x14ac:dyDescent="0.35">
      <c r="A19" s="7" t="s">
        <v>6</v>
      </c>
      <c r="B19" s="5" t="s">
        <v>35</v>
      </c>
      <c r="C19" s="6">
        <v>46314</v>
      </c>
      <c r="D19" s="8">
        <v>4.5</v>
      </c>
      <c r="E19" s="15">
        <f>D19+0.5</f>
        <v>5</v>
      </c>
    </row>
    <row r="20" spans="1:5" x14ac:dyDescent="0.35">
      <c r="A20" s="7" t="s">
        <v>6</v>
      </c>
      <c r="B20" s="5" t="s">
        <v>35</v>
      </c>
      <c r="C20" s="6">
        <v>46313</v>
      </c>
      <c r="D20" s="8">
        <v>4.75</v>
      </c>
      <c r="E20" s="15">
        <f>D20+0.5</f>
        <v>5.25</v>
      </c>
    </row>
    <row r="21" spans="1:5" x14ac:dyDescent="0.35">
      <c r="A21" s="7" t="s">
        <v>29</v>
      </c>
      <c r="B21" s="5" t="s">
        <v>35</v>
      </c>
      <c r="C21" s="6">
        <v>46297</v>
      </c>
      <c r="D21" s="8">
        <v>3.5</v>
      </c>
      <c r="E21" s="15">
        <f>D21+0.5</f>
        <v>4</v>
      </c>
    </row>
    <row r="22" spans="1:5" x14ac:dyDescent="0.35">
      <c r="A22" s="7" t="s">
        <v>15</v>
      </c>
      <c r="B22" s="5" t="s">
        <v>35</v>
      </c>
      <c r="C22" s="6">
        <v>46296</v>
      </c>
      <c r="D22" s="8">
        <v>8</v>
      </c>
      <c r="E22" s="15">
        <f>D22+0.5</f>
        <v>8.5</v>
      </c>
    </row>
    <row r="23" spans="1:5" x14ac:dyDescent="0.35">
      <c r="A23" s="7" t="s">
        <v>21</v>
      </c>
      <c r="B23" s="5" t="s">
        <v>35</v>
      </c>
      <c r="C23" s="6">
        <v>46291</v>
      </c>
      <c r="D23" s="8">
        <v>6</v>
      </c>
      <c r="E23" s="15">
        <f>D23+0.5</f>
        <v>6.5</v>
      </c>
    </row>
    <row r="24" spans="1:5" x14ac:dyDescent="0.35">
      <c r="A24" s="7" t="s">
        <v>21</v>
      </c>
      <c r="B24" s="5" t="s">
        <v>35</v>
      </c>
      <c r="C24" s="6">
        <v>46290</v>
      </c>
      <c r="D24" s="8">
        <v>3</v>
      </c>
      <c r="E24" s="15">
        <f>D24+0.5</f>
        <v>3.5</v>
      </c>
    </row>
    <row r="25" spans="1:5" x14ac:dyDescent="0.35">
      <c r="A25" s="7" t="s">
        <v>13</v>
      </c>
      <c r="B25" s="5" t="s">
        <v>12</v>
      </c>
      <c r="C25" s="6">
        <v>46328</v>
      </c>
      <c r="D25" s="8">
        <v>8</v>
      </c>
      <c r="E25" s="15">
        <f>D25+0.5</f>
        <v>8.5</v>
      </c>
    </row>
    <row r="26" spans="1:5" x14ac:dyDescent="0.35">
      <c r="A26" s="7" t="s">
        <v>13</v>
      </c>
      <c r="B26" s="5" t="s">
        <v>12</v>
      </c>
      <c r="C26" s="6">
        <v>46327</v>
      </c>
      <c r="D26" s="8">
        <v>6</v>
      </c>
      <c r="E26" s="15">
        <f>D26+0.5</f>
        <v>6.5</v>
      </c>
    </row>
    <row r="27" spans="1:5" x14ac:dyDescent="0.35">
      <c r="A27" s="7" t="s">
        <v>11</v>
      </c>
      <c r="B27" s="5" t="s">
        <v>12</v>
      </c>
      <c r="C27" s="6">
        <v>46323</v>
      </c>
      <c r="D27" s="8">
        <v>6</v>
      </c>
      <c r="E27" s="15">
        <f>D27+0.5</f>
        <v>6.5</v>
      </c>
    </row>
    <row r="28" spans="1:5" x14ac:dyDescent="0.35">
      <c r="A28" s="7" t="s">
        <v>11</v>
      </c>
      <c r="B28" s="5" t="s">
        <v>12</v>
      </c>
      <c r="C28" s="6">
        <v>46322</v>
      </c>
      <c r="D28" s="8">
        <v>7</v>
      </c>
      <c r="E28" s="15">
        <f>D28+0.5</f>
        <v>7.5</v>
      </c>
    </row>
    <row r="29" spans="1:5" x14ac:dyDescent="0.35">
      <c r="A29" s="7" t="s">
        <v>23</v>
      </c>
      <c r="B29" s="5" t="s">
        <v>12</v>
      </c>
      <c r="C29" s="6">
        <v>46293</v>
      </c>
      <c r="D29" s="8">
        <v>6</v>
      </c>
      <c r="E29" s="15">
        <f>D29+0.5</f>
        <v>6.5</v>
      </c>
    </row>
    <row r="30" spans="1:5" x14ac:dyDescent="0.35">
      <c r="A30" s="7" t="s">
        <v>23</v>
      </c>
      <c r="B30" s="5" t="s">
        <v>12</v>
      </c>
      <c r="C30" s="6">
        <v>46292</v>
      </c>
      <c r="D30" s="8">
        <v>4</v>
      </c>
      <c r="E30" s="15">
        <f>D30+0.5</f>
        <v>4.5</v>
      </c>
    </row>
    <row r="31" spans="1:5" x14ac:dyDescent="0.35">
      <c r="A31" s="7" t="s">
        <v>17</v>
      </c>
      <c r="B31" s="5" t="s">
        <v>32</v>
      </c>
      <c r="C31" s="6">
        <v>46329</v>
      </c>
      <c r="D31" s="8">
        <v>6.5</v>
      </c>
      <c r="E31" s="15">
        <f>D31+0.5</f>
        <v>7</v>
      </c>
    </row>
    <row r="32" spans="1:5" x14ac:dyDescent="0.35">
      <c r="A32" s="7" t="s">
        <v>31</v>
      </c>
      <c r="B32" s="5" t="s">
        <v>32</v>
      </c>
      <c r="C32" s="6">
        <v>46315</v>
      </c>
      <c r="D32" s="8">
        <v>3.25</v>
      </c>
      <c r="E32" s="15">
        <f>D32+0.5</f>
        <v>3.75</v>
      </c>
    </row>
    <row r="33" spans="1:5" x14ac:dyDescent="0.35">
      <c r="A33" s="7" t="s">
        <v>20</v>
      </c>
      <c r="B33" s="5" t="s">
        <v>32</v>
      </c>
      <c r="C33" s="6">
        <v>46312</v>
      </c>
      <c r="D33" s="8">
        <v>4</v>
      </c>
      <c r="E33" s="15">
        <f>D33+0.5</f>
        <v>4.5</v>
      </c>
    </row>
    <row r="34" spans="1:5" x14ac:dyDescent="0.35">
      <c r="A34" s="7" t="s">
        <v>20</v>
      </c>
      <c r="B34" s="5" t="s">
        <v>32</v>
      </c>
      <c r="C34" s="6">
        <v>46311</v>
      </c>
      <c r="D34" s="8">
        <v>4</v>
      </c>
      <c r="E34" s="15">
        <f>D34+0.5</f>
        <v>4.5</v>
      </c>
    </row>
    <row r="35" spans="1:5" x14ac:dyDescent="0.35">
      <c r="A35" s="7" t="s">
        <v>27</v>
      </c>
      <c r="B35" s="5" t="s">
        <v>32</v>
      </c>
      <c r="C35" s="6">
        <v>46305</v>
      </c>
      <c r="D35" s="8">
        <v>4.5</v>
      </c>
      <c r="E35" s="15">
        <f>D35+0.5</f>
        <v>5</v>
      </c>
    </row>
    <row r="36" spans="1:5" x14ac:dyDescent="0.35">
      <c r="A36" s="7" t="s">
        <v>24</v>
      </c>
      <c r="B36" s="5" t="s">
        <v>32</v>
      </c>
      <c r="C36" s="6">
        <v>46304</v>
      </c>
      <c r="D36" s="8">
        <v>3.5</v>
      </c>
      <c r="E36" s="15">
        <f>D36+0.5</f>
        <v>4</v>
      </c>
    </row>
    <row r="37" spans="1:5" x14ac:dyDescent="0.35">
      <c r="A37" s="7" t="s">
        <v>22</v>
      </c>
      <c r="B37" s="5" t="s">
        <v>32</v>
      </c>
      <c r="C37" s="6">
        <v>46295</v>
      </c>
      <c r="D37" s="8">
        <v>4</v>
      </c>
      <c r="E37" s="15">
        <f>D37+0.5</f>
        <v>4.5</v>
      </c>
    </row>
    <row r="38" spans="1:5" x14ac:dyDescent="0.35">
      <c r="A38" s="7" t="s">
        <v>22</v>
      </c>
      <c r="B38" s="5" t="s">
        <v>32</v>
      </c>
      <c r="C38" s="6">
        <v>46294</v>
      </c>
      <c r="D38" s="8">
        <v>2</v>
      </c>
      <c r="E38" s="15">
        <f>D38+0.5</f>
        <v>2.5</v>
      </c>
    </row>
    <row r="39" spans="1:5" x14ac:dyDescent="0.35">
      <c r="A39" s="7" t="s">
        <v>7</v>
      </c>
      <c r="B39" s="5" t="s">
        <v>33</v>
      </c>
      <c r="C39" s="6">
        <v>46331</v>
      </c>
      <c r="D39" s="8">
        <v>5</v>
      </c>
      <c r="E39" s="15">
        <f>D39+0.5</f>
        <v>5.5</v>
      </c>
    </row>
    <row r="40" spans="1:5" x14ac:dyDescent="0.35">
      <c r="A40" s="7" t="s">
        <v>7</v>
      </c>
      <c r="B40" s="5" t="s">
        <v>33</v>
      </c>
      <c r="C40" s="6">
        <v>46330</v>
      </c>
      <c r="D40" s="8">
        <v>4</v>
      </c>
      <c r="E40" s="15">
        <f>D40+0.5</f>
        <v>4.5</v>
      </c>
    </row>
    <row r="41" spans="1:5" x14ac:dyDescent="0.35">
      <c r="A41" s="7" t="s">
        <v>9</v>
      </c>
      <c r="B41" s="5" t="s">
        <v>33</v>
      </c>
      <c r="C41" s="6">
        <v>46319</v>
      </c>
      <c r="D41" s="8">
        <v>4</v>
      </c>
      <c r="E41" s="15">
        <f>D41+0.5</f>
        <v>4.5</v>
      </c>
    </row>
    <row r="42" spans="1:5" x14ac:dyDescent="0.35">
      <c r="A42" s="7" t="s">
        <v>9</v>
      </c>
      <c r="B42" s="5" t="s">
        <v>33</v>
      </c>
      <c r="C42" s="6">
        <v>46318</v>
      </c>
      <c r="D42" s="8">
        <v>4</v>
      </c>
      <c r="E42" s="15">
        <f>D42+0.5</f>
        <v>4.5</v>
      </c>
    </row>
    <row r="43" spans="1:5" x14ac:dyDescent="0.35">
      <c r="A43" s="7" t="s">
        <v>9</v>
      </c>
      <c r="B43" s="5" t="s">
        <v>33</v>
      </c>
      <c r="C43" s="6">
        <v>46317</v>
      </c>
      <c r="D43" s="8">
        <v>4</v>
      </c>
      <c r="E43" s="15">
        <f>D43+0.5</f>
        <v>4.5</v>
      </c>
    </row>
    <row r="44" spans="1:5" x14ac:dyDescent="0.35">
      <c r="A44" s="7" t="s">
        <v>9</v>
      </c>
      <c r="B44" s="5" t="s">
        <v>33</v>
      </c>
      <c r="C44" s="6">
        <v>46316</v>
      </c>
      <c r="D44" s="8">
        <v>4</v>
      </c>
      <c r="E44" s="15">
        <f>D44+0.5</f>
        <v>4.5</v>
      </c>
    </row>
    <row r="45" spans="1:5" x14ac:dyDescent="0.35">
      <c r="A45" s="7" t="s">
        <v>28</v>
      </c>
      <c r="B45" s="5" t="s">
        <v>33</v>
      </c>
      <c r="C45" s="6">
        <v>46306</v>
      </c>
      <c r="D45" s="8">
        <v>4</v>
      </c>
      <c r="E45" s="15">
        <f>D45+0.5</f>
        <v>4.5</v>
      </c>
    </row>
    <row r="46" spans="1:5" x14ac:dyDescent="0.35">
      <c r="A46" s="7" t="s">
        <v>18</v>
      </c>
      <c r="B46" s="5" t="s">
        <v>33</v>
      </c>
      <c r="C46" s="6">
        <v>46303</v>
      </c>
      <c r="D46" s="8">
        <v>5</v>
      </c>
      <c r="E46" s="15">
        <f>D46+0.5</f>
        <v>5.5</v>
      </c>
    </row>
    <row r="47" spans="1:5" x14ac:dyDescent="0.35">
      <c r="A47" s="7" t="s">
        <v>18</v>
      </c>
      <c r="B47" s="5" t="s">
        <v>33</v>
      </c>
      <c r="C47" s="6">
        <v>46302</v>
      </c>
      <c r="D47" s="8">
        <v>5</v>
      </c>
      <c r="E47" s="15">
        <f>D47+0.5</f>
        <v>5.5</v>
      </c>
    </row>
    <row r="48" spans="1:5" x14ac:dyDescent="0.35">
      <c r="A48" s="7" t="s">
        <v>18</v>
      </c>
      <c r="B48" s="5" t="s">
        <v>33</v>
      </c>
      <c r="C48" s="6">
        <v>46301</v>
      </c>
      <c r="D48" s="8">
        <v>5</v>
      </c>
      <c r="E48" s="15">
        <f>D48+0.5</f>
        <v>5.5</v>
      </c>
    </row>
    <row r="49" spans="1:5" x14ac:dyDescent="0.35">
      <c r="A49" s="7" t="s">
        <v>4</v>
      </c>
      <c r="B49" s="5" t="s">
        <v>33</v>
      </c>
      <c r="C49" s="6">
        <v>46300</v>
      </c>
      <c r="D49" s="8">
        <v>3.25</v>
      </c>
      <c r="E49" s="15">
        <f>D49+0.5</f>
        <v>3.75</v>
      </c>
    </row>
    <row r="50" spans="1:5" x14ac:dyDescent="0.35">
      <c r="A50" s="7" t="s">
        <v>4</v>
      </c>
      <c r="B50" s="5" t="s">
        <v>33</v>
      </c>
      <c r="C50" s="6">
        <v>46299</v>
      </c>
      <c r="D50" s="8">
        <v>4.5</v>
      </c>
      <c r="E50" s="15">
        <f>D50+0.5</f>
        <v>5</v>
      </c>
    </row>
    <row r="51" spans="1:5" x14ac:dyDescent="0.35">
      <c r="A51" s="12" t="s">
        <v>26</v>
      </c>
      <c r="B51" s="13" t="s">
        <v>33</v>
      </c>
      <c r="C51" s="6">
        <v>46288</v>
      </c>
      <c r="D51" s="14">
        <v>4</v>
      </c>
      <c r="E51" s="15">
        <f>D51+0.5</f>
        <v>4.5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enna xmlns="http://customxml.org">
  <kers>VCM0NgrEuGmTqM3iyLa2dHPJD7/F4+hY0Wn2oDBf5cE=</kers>
  <massa>9/23/2026 9:37:53 AM</massa>
  <hamilton>true</hamilton>
</senna>
</file>

<file path=customXml/item5.xml>��
</file>

<file path=customXml/itemProps1.xml><?xml version="1.0" encoding="utf-8"?>
<ds:datastoreItem xmlns:ds="http://schemas.openxmlformats.org/officeDocument/2006/customXml" ds:itemID="{23295F87-DAB2-40EE-86EF-F1EA3B774CE1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2.xml><?xml version="1.0" encoding="utf-8"?>
<ds:datastoreItem xmlns:ds="http://schemas.openxmlformats.org/officeDocument/2006/customXml" ds:itemID="{8C81AEDE-C305-49DC-9668-0CAC1EEA8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F3E55A-0B37-49FA-9245-EB02B1DE9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895E2C4-538C-4BB0-A0E1-858C41263AD1}">
  <ds:schemaRefs>
    <ds:schemaRef ds:uri="http://customxml.org"/>
  </ds:schemaRefs>
</ds:datastoreItem>
</file>

<file path=customXml/itemProps5.xml><?xml version="1.0" encoding="utf-8"?>
<ds:datastoreItem xmlns:ds="http://schemas.openxmlformats.org/officeDocument/2006/customXml" ds:itemID="{632484DA-1C87-4EB6-80F5-66FB2AC99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PivotTables</vt:lpstr>
      <vt:lpstr>Contracts</vt:lpstr>
      <vt:lpstr>Billable Hours</vt:lpstr>
      <vt:lpstr>Copy1</vt:lpstr>
      <vt:lpstr>Copy2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2021-04-24T01:50:05Z</dcterms:created>
  <dcterms:modified xsi:type="dcterms:W3CDTF">2026-09-23T15:30:29Z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[{"Key":"kers","Value":"VCM0NgrEuGmTqM3iyLa2dHPJD7/F4\u002BhY0Wn2oDBf5cE="},{"Key":"massa","Value":"9/23/2026 9:37:53 AM"},{"Key":"hamilton","Value":"true"}]</vt:lpwstr>
  </property>
</Properties>
</file>