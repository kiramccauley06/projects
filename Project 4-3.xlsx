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202300"/>
  <xr:revisionPtr revIDLastSave="0" documentId="8_{27FC635D-BDDD-4B30-A0D8-F11B48559B6E}" xr6:coauthVersionLast="47" xr6:coauthVersionMax="47" xr10:uidLastSave="{00000000-0000-0000-0000-000000000000}"/>
  <bookViews>
    <workbookView xWindow="-110" yWindow="-110" windowWidth="22780" windowHeight="14540" firstSheet="2" activeTab="4" xr2:uid="{00000000-000D-0000-FFFF-FFFF00000000}"/>
  </bookViews>
  <sheets>
    <sheet name="Patients&amp;Equip" sheetId="2" r:id="rId1"/>
    <sheet name="Adv Filter" sheetId="13" r:id="rId2"/>
    <sheet name="Criteria" sheetId="12" r:id="rId3"/>
    <sheet name="Expense Info" sheetId="9" r:id="rId4"/>
    <sheet name="PivotData" sheetId="14" r:id="rId5"/>
  </sheets>
  <definedNames>
    <definedName name="_xlnm._FilterDatabase" localSheetId="1" hidden="1">'Adv Filter'!$A$5:$D$74</definedName>
    <definedName name="_xlnm.Database" localSheetId="1">'Adv Filter'!$A$5:$D$74</definedName>
    <definedName name="_xlnm.Database">'Patients&amp;Equip'!$A$5:$D$25</definedName>
    <definedName name="_xlnm.Extract" localSheetId="1">'Adv Filter'!$G$5:$J$5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9" l="1"/>
  <c r="D32" i="9"/>
  <c r="D25" i="9"/>
  <c r="D18" i="9"/>
  <c r="D11" i="9"/>
  <c r="D40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02FF86-BE2A-4230-95D7-4D72C8E7EEEF}" keepAlive="1" name="Query - ClemensonCSV-04" description="Connection to the 'ClemensonCSV-04' query in the workbook." type="5" refreshedVersion="0" background="1">
    <dbPr connection="Provider=Microsoft.Mashup.OleDb.1;Data Source=$Workbook$;Location=ClemensonCSV-04;Extended Properties=&quot;&quot;" command="SELECT * FROM [ClemensonCSV-04]"/>
  </connection>
</connections>
</file>

<file path=xl/sharedStrings.xml><?xml version="1.0" encoding="utf-8"?>
<sst xmlns="http://schemas.openxmlformats.org/spreadsheetml/2006/main" count="267" uniqueCount="40">
  <si>
    <t>Patients</t>
  </si>
  <si>
    <t>MRI</t>
  </si>
  <si>
    <t>CT Scan</t>
  </si>
  <si>
    <t>Angiography</t>
  </si>
  <si>
    <t>Ultrasonography</t>
  </si>
  <si>
    <t>Clemenson Imaging</t>
  </si>
  <si>
    <t>Last Name</t>
  </si>
  <si>
    <t>First Name</t>
  </si>
  <si>
    <t>Date</t>
  </si>
  <si>
    <t>Amount</t>
  </si>
  <si>
    <t>Criteria Range</t>
  </si>
  <si>
    <t>Patient Count and Equipment Hours</t>
  </si>
  <si>
    <t>Equipment Usage</t>
  </si>
  <si>
    <t>Month/Year</t>
  </si>
  <si>
    <t>Image Type</t>
  </si>
  <si>
    <t>Expense Data for Specified Year</t>
  </si>
  <si>
    <t>January 2021 to December 2025</t>
  </si>
  <si>
    <t>Extract Range</t>
  </si>
  <si>
    <t>&gt;12/31/22</t>
  </si>
  <si>
    <t>&lt;1/2/24</t>
  </si>
  <si>
    <t>Allen</t>
  </si>
  <si>
    <t xml:space="preserve"> Mary Jo</t>
  </si>
  <si>
    <t>Gabrys</t>
  </si>
  <si>
    <t xml:space="preserve"> Elizabeth</t>
  </si>
  <si>
    <t>Bashir</t>
  </si>
  <si>
    <t xml:space="preserve"> Atef</t>
  </si>
  <si>
    <t>Gomez</t>
  </si>
  <si>
    <t xml:space="preserve"> Paola</t>
  </si>
  <si>
    <t>McAllister</t>
  </si>
  <si>
    <t xml:space="preserve"> Lex</t>
  </si>
  <si>
    <t>Mary Jo</t>
  </si>
  <si>
    <t>Allen Average</t>
  </si>
  <si>
    <t>Bashir Average</t>
  </si>
  <si>
    <t>Gabrys Average</t>
  </si>
  <si>
    <t>Gomez Average</t>
  </si>
  <si>
    <t>McAllister Average</t>
  </si>
  <si>
    <t>Grand Average</t>
  </si>
  <si>
    <t>Grand Total</t>
  </si>
  <si>
    <t># of Patients</t>
  </si>
  <si>
    <t>Projected 20%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</si>
</sst>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yyyy"/>
  </numFmts>
  <fonts count="12" x14ac:knownFonts="1">
    <font>
      <sz val="10"/>
      <name val="Calibri"/>
      <family val="2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20"/>
      <name val="Aptos Narrow"/>
      <family val="2"/>
      <scheme val="minor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4"/>
      <name val="Aptos Narrow"/>
      <family val="2"/>
      <scheme val="minor"/>
    </font>
    <font>
      <sz val="14"/>
      <name val="Aptos Narrow"/>
      <family val="2"/>
      <scheme val="minor"/>
    </font>
    <font>
      <sz val="1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Continuous"/>
    </xf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2" xfId="2" applyFont="1" applyBorder="1" applyAlignment="1">
      <alignment horizontal="center" wrapText="1"/>
    </xf>
    <xf numFmtId="0" fontId="8" fillId="0" borderId="0" xfId="2" applyFont="1" applyAlignment="1">
      <alignment horizontal="centerContinuous"/>
    </xf>
    <xf numFmtId="0" fontId="9" fillId="0" borderId="0" xfId="2" applyFont="1" applyAlignment="1">
      <alignment horizontal="centerContinuous"/>
    </xf>
    <xf numFmtId="164" fontId="4" fillId="0" borderId="3" xfId="2" applyNumberFormat="1" applyFont="1" applyBorder="1"/>
    <xf numFmtId="0" fontId="4" fillId="0" borderId="3" xfId="2" applyFont="1" applyBorder="1"/>
    <xf numFmtId="164" fontId="4" fillId="0" borderId="4" xfId="2" applyNumberFormat="1" applyFont="1" applyBorder="1"/>
    <xf numFmtId="0" fontId="4" fillId="0" borderId="4" xfId="2" applyFont="1" applyBorder="1"/>
    <xf numFmtId="0" fontId="8" fillId="0" borderId="0" xfId="2" applyFont="1" applyAlignment="1">
      <alignment horizontal="center"/>
    </xf>
    <xf numFmtId="164" fontId="4" fillId="0" borderId="5" xfId="2" applyNumberFormat="1" applyFont="1" applyBorder="1"/>
    <xf numFmtId="0" fontId="4" fillId="0" borderId="6" xfId="2" applyFont="1" applyBorder="1"/>
    <xf numFmtId="0" fontId="7" fillId="0" borderId="7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7" fillId="0" borderId="8" xfId="2" applyFont="1" applyBorder="1" applyAlignment="1">
      <alignment horizontal="center" wrapText="1"/>
    </xf>
    <xf numFmtId="0" fontId="7" fillId="0" borderId="9" xfId="2" applyFont="1" applyBorder="1" applyAlignment="1">
      <alignment horizontal="center" wrapText="1"/>
    </xf>
    <xf numFmtId="164" fontId="4" fillId="0" borderId="10" xfId="2" applyNumberFormat="1" applyFont="1" applyBorder="1"/>
    <xf numFmtId="0" fontId="4" fillId="0" borderId="11" xfId="2" applyFont="1" applyBorder="1"/>
    <xf numFmtId="0" fontId="4" fillId="0" borderId="12" xfId="2" applyFont="1" applyBorder="1"/>
    <xf numFmtId="164" fontId="4" fillId="0" borderId="5" xfId="2" applyNumberFormat="1" applyFont="1" applyFill="1" applyBorder="1"/>
    <xf numFmtId="0" fontId="4" fillId="0" borderId="3" xfId="2" applyFont="1" applyFill="1" applyBorder="1"/>
    <xf numFmtId="0" fontId="4" fillId="0" borderId="6" xfId="2" applyFont="1" applyFill="1" applyBorder="1"/>
    <xf numFmtId="164" fontId="4" fillId="0" borderId="10" xfId="2" applyNumberFormat="1" applyFont="1" applyFill="1" applyBorder="1"/>
    <xf numFmtId="0" fontId="4" fillId="0" borderId="11" xfId="2" applyFont="1" applyFill="1" applyBorder="1"/>
    <xf numFmtId="0" fontId="4" fillId="0" borderId="12" xfId="2" applyFont="1" applyFill="1" applyBorder="1"/>
    <xf numFmtId="0" fontId="11" fillId="0" borderId="2" xfId="2" applyNumberFormat="1" applyFont="1" applyBorder="1" applyAlignment="1">
      <alignment horizontal="center"/>
    </xf>
    <xf numFmtId="0" fontId="11" fillId="0" borderId="2" xfId="2" applyNumberFormat="1" applyFont="1" applyBorder="1" applyAlignment="1">
      <alignment horizontal="center" wrapText="1"/>
    </xf>
    <xf numFmtId="0" fontId="8" fillId="0" borderId="0" xfId="2" applyFont="1"/>
    <xf numFmtId="164" fontId="4" fillId="0" borderId="2" xfId="2" applyNumberFormat="1" applyFont="1" applyFill="1" applyBorder="1"/>
    <xf numFmtId="0" fontId="4" fillId="0" borderId="2" xfId="2" applyFont="1" applyFill="1" applyBorder="1"/>
    <xf numFmtId="14" fontId="4" fillId="0" borderId="0" xfId="2" applyNumberFormat="1" applyFont="1"/>
    <xf numFmtId="0" fontId="7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14" fontId="3" fillId="0" borderId="0" xfId="2" applyNumberFormat="1" applyFont="1" applyAlignment="1">
      <alignment horizontal="centerContinuous"/>
    </xf>
    <xf numFmtId="14" fontId="7" fillId="0" borderId="0" xfId="0" applyNumberFormat="1" applyFont="1" applyAlignment="1">
      <alignment horizontal="center"/>
    </xf>
    <xf numFmtId="14" fontId="4" fillId="0" borderId="0" xfId="0" applyNumberFormat="1" applyFont="1"/>
    <xf numFmtId="0" fontId="7" fillId="0" borderId="0" xfId="0" applyFont="1"/>
    <xf numFmtId="44" fontId="4" fillId="0" borderId="0" xfId="0" applyNumberFormat="1" applyFont="1"/>
    <xf numFmtId="44" fontId="3" fillId="0" borderId="0" xfId="2" applyNumberFormat="1" applyFont="1" applyAlignment="1">
      <alignment horizontal="centerContinuous"/>
    </xf>
    <xf numFmtId="44" fontId="4" fillId="0" borderId="0" xfId="2" applyNumberFormat="1" applyFont="1"/>
    <xf numFmtId="44" fontId="7" fillId="0" borderId="0" xfId="0" applyNumberFormat="1" applyFont="1" applyAlignment="1">
      <alignment horizontal="center"/>
    </xf>
    <xf numFmtId="0" fontId="0" fillId="0" borderId="0" xfId="0" pivotButton="1"/>
    <xf numFmtId="3" fontId="0" fillId="0" borderId="0" xfId="0" applyNumberFormat="1"/>
  </cellXfs>
  <cellStyles count="4">
    <cellStyle name="Normal" xfId="0" builtinId="0" customBuiltin="1"/>
    <cellStyle name="Normal 2" xfId="1" xr:uid="{00000000-0005-0000-0000-000001000000}"/>
    <cellStyle name="Normal 2#A09wMfuOz08fQ15xEHT1QfInEOl1On2FvyK+rwKGMjc=" xfId="3" xr:uid="{00000000-0005-0000-0000-000003000000}"/>
    <cellStyle name="Normal#pfnQYTawpReDjHAUJwgiCjPp40jFA0liqpkqvHSDQSA=" xfId="2" xr:uid="{00000000-0005-0000-0000-000002000000}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 yyyy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4-3.xlsx]PivotData!PivotTable1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</a:t>
            </a:r>
            <a:r>
              <a:rPr lang="en-US" baseline="0"/>
              <a:t> Patients by Image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PivotData!$B$2</c:f>
              <c:strCache>
                <c:ptCount val="1"/>
                <c:pt idx="0">
                  <c:v># of Patients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PivotData!$A$3:$A$7</c:f>
              <c:strCache>
                <c:ptCount val="4"/>
                <c:pt idx="0">
                  <c:v>Angiography</c:v>
                </c:pt>
                <c:pt idx="1">
                  <c:v>CT Scan</c:v>
                </c:pt>
                <c:pt idx="2">
                  <c:v>MRI</c:v>
                </c:pt>
                <c:pt idx="3">
                  <c:v>Ultrasonography</c:v>
                </c:pt>
              </c:strCache>
            </c:strRef>
          </c:cat>
          <c:val>
            <c:numRef>
              <c:f>PivotData!$B$3:$B$7</c:f>
              <c:numCache>
                <c:formatCode>#,##0</c:formatCode>
                <c:ptCount val="4"/>
                <c:pt idx="0">
                  <c:v>1619</c:v>
                </c:pt>
                <c:pt idx="1">
                  <c:v>1670</c:v>
                </c:pt>
                <c:pt idx="2">
                  <c:v>1901</c:v>
                </c:pt>
                <c:pt idx="3">
                  <c:v>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3-4282-9ECD-7ECEECBDD87F}"/>
            </c:ext>
          </c:extLst>
        </c:ser>
        <c:ser>
          <c:idx val="1"/>
          <c:order val="1"/>
          <c:tx>
            <c:strRef>
              <c:f>PivotData!$C$2</c:f>
              <c:strCache>
                <c:ptCount val="1"/>
                <c:pt idx="0">
                  <c:v>Projected 20% Increase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PivotData!$A$3:$A$7</c:f>
              <c:strCache>
                <c:ptCount val="4"/>
                <c:pt idx="0">
                  <c:v>Angiography</c:v>
                </c:pt>
                <c:pt idx="1">
                  <c:v>CT Scan</c:v>
                </c:pt>
                <c:pt idx="2">
                  <c:v>MRI</c:v>
                </c:pt>
                <c:pt idx="3">
                  <c:v>Ultrasonography</c:v>
                </c:pt>
              </c:strCache>
            </c:strRef>
          </c:cat>
          <c:val>
            <c:numRef>
              <c:f>PivotData!$C$3:$C$7</c:f>
              <c:numCache>
                <c:formatCode>#,##0</c:formatCode>
                <c:ptCount val="4"/>
                <c:pt idx="0">
                  <c:v>1942.8</c:v>
                </c:pt>
                <c:pt idx="1">
                  <c:v>2004</c:v>
                </c:pt>
                <c:pt idx="2">
                  <c:v>2281.1999999999998</c:v>
                </c:pt>
                <c:pt idx="3">
                  <c:v>2120.4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B3-4282-9ECD-7ECEECBDD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89679135"/>
        <c:axId val="1395971823"/>
      </c:barChart>
      <c:catAx>
        <c:axId val="208967913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71823"/>
        <c:crosses val="autoZero"/>
        <c:auto val="1"/>
        <c:lblAlgn val="ctr"/>
        <c:lblOffset val="100"/>
        <c:noMultiLvlLbl val="0"/>
      </c:catAx>
      <c:valAx>
        <c:axId val="139597182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 Usage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791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11</xdr:row>
      <xdr:rowOff>19050</xdr:rowOff>
    </xdr:from>
    <xdr:to>
      <xdr:col>10</xdr:col>
      <xdr:colOff>6350</xdr:colOff>
      <xdr:row>34</xdr:row>
      <xdr:rowOff>146050</xdr:rowOff>
    </xdr:to>
    <xdr:graphicFrame macro="">
      <xdr:nvGraphicFramePr>
        <xdr:cNvPr id="2" name="Chart 1" descr="Chart type: Clustered Bar. 'Equipment Usage' by 'Image Type'&#10;&#10;Description automatically generated">
          <a:extLst>
            <a:ext uri="{FF2B5EF4-FFF2-40B4-BE49-F238E27FC236}">
              <a16:creationId xmlns:a16="http://schemas.microsoft.com/office/drawing/2014/main" id="{FD2FEFA9-DCB4-AE95-16A5-272C21FF2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6.476403703702" createdVersion="8" refreshedVersion="8" minRefreshableVersion="3" recordCount="69" xr:uid="{A4AAA736-DB41-4FC9-8978-2C0A657604BE}">
  <cacheSource type="worksheet">
    <worksheetSource ref="A5:D74" sheet="Patients&amp;Equip"/>
  </cacheSource>
  <cacheFields count="5">
    <cacheField name="Month/Year" numFmtId="164">
      <sharedItems containsSemiMixedTypes="0" containsNonDate="0" containsDate="1" containsString="0" minDate="2021-01-01T00:00:00" maxDate="2025-12-02T00:00:00"/>
    </cacheField>
    <cacheField name="Image Type" numFmtId="0">
      <sharedItems count="4">
        <s v="MRI"/>
        <s v="Ultrasonography"/>
        <s v="Angiography"/>
        <s v="CT Scan"/>
      </sharedItems>
    </cacheField>
    <cacheField name="Patients" numFmtId="0">
      <sharedItems containsSemiMixedTypes="0" containsString="0" containsNumber="1" containsInteger="1" minValue="75" maxValue="125"/>
    </cacheField>
    <cacheField name="Equipment Usage" numFmtId="0">
      <sharedItems containsSemiMixedTypes="0" containsString="0" containsNumber="1" containsInteger="1" minValue="126" maxValue="175"/>
    </cacheField>
    <cacheField name="20% Increase" numFmtId="0" formula="Patients *120%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1-01-01T00:00:00"/>
    <x v="0"/>
    <n v="120"/>
    <n v="139"/>
  </r>
  <r>
    <d v="2021-02-01T00:00:00"/>
    <x v="1"/>
    <n v="119"/>
    <n v="164"/>
  </r>
  <r>
    <d v="2021-03-01T00:00:00"/>
    <x v="2"/>
    <n v="87"/>
    <n v="141"/>
  </r>
  <r>
    <d v="2021-04-01T00:00:00"/>
    <x v="3"/>
    <n v="104"/>
    <n v="133"/>
  </r>
  <r>
    <d v="2021-05-01T00:00:00"/>
    <x v="0"/>
    <n v="106"/>
    <n v="159"/>
  </r>
  <r>
    <d v="2021-06-01T00:00:00"/>
    <x v="1"/>
    <n v="124"/>
    <n v="144"/>
  </r>
  <r>
    <d v="2021-07-01T00:00:00"/>
    <x v="2"/>
    <n v="110"/>
    <n v="149"/>
  </r>
  <r>
    <d v="2021-08-01T00:00:00"/>
    <x v="3"/>
    <n v="84"/>
    <n v="126"/>
  </r>
  <r>
    <d v="2021-09-01T00:00:00"/>
    <x v="0"/>
    <n v="85"/>
    <n v="161"/>
  </r>
  <r>
    <d v="2021-10-01T00:00:00"/>
    <x v="1"/>
    <n v="122"/>
    <n v="167"/>
  </r>
  <r>
    <d v="2021-11-01T00:00:00"/>
    <x v="2"/>
    <n v="90"/>
    <n v="144"/>
  </r>
  <r>
    <d v="2021-12-01T00:00:00"/>
    <x v="3"/>
    <n v="82"/>
    <n v="163"/>
  </r>
  <r>
    <d v="2022-01-01T00:00:00"/>
    <x v="0"/>
    <n v="88"/>
    <n v="129"/>
  </r>
  <r>
    <d v="2022-02-01T00:00:00"/>
    <x v="1"/>
    <n v="89"/>
    <n v="149"/>
  </r>
  <r>
    <d v="2022-03-01T00:00:00"/>
    <x v="2"/>
    <n v="81"/>
    <n v="151"/>
  </r>
  <r>
    <d v="2022-04-01T00:00:00"/>
    <x v="3"/>
    <n v="85"/>
    <n v="157"/>
  </r>
  <r>
    <d v="2022-05-01T00:00:00"/>
    <x v="0"/>
    <n v="123"/>
    <n v="162"/>
  </r>
  <r>
    <d v="2022-06-01T00:00:00"/>
    <x v="1"/>
    <n v="107"/>
    <n v="131"/>
  </r>
  <r>
    <d v="2022-07-01T00:00:00"/>
    <x v="2"/>
    <n v="110"/>
    <n v="145"/>
  </r>
  <r>
    <d v="2022-08-01T00:00:00"/>
    <x v="3"/>
    <n v="82"/>
    <n v="158"/>
  </r>
  <r>
    <d v="2022-09-01T00:00:00"/>
    <x v="3"/>
    <n v="77"/>
    <n v="150"/>
  </r>
  <r>
    <d v="2022-10-01T00:00:00"/>
    <x v="0"/>
    <n v="89"/>
    <n v="161"/>
  </r>
  <r>
    <d v="2022-11-01T00:00:00"/>
    <x v="1"/>
    <n v="114"/>
    <n v="149"/>
  </r>
  <r>
    <d v="2022-12-01T00:00:00"/>
    <x v="2"/>
    <n v="96"/>
    <n v="127"/>
  </r>
  <r>
    <d v="2023-01-01T00:00:00"/>
    <x v="3"/>
    <n v="86"/>
    <n v="147"/>
  </r>
  <r>
    <d v="2023-02-01T00:00:00"/>
    <x v="0"/>
    <n v="116"/>
    <n v="132"/>
  </r>
  <r>
    <d v="2023-03-01T00:00:00"/>
    <x v="1"/>
    <n v="117"/>
    <n v="130"/>
  </r>
  <r>
    <d v="2023-04-01T00:00:00"/>
    <x v="2"/>
    <n v="80"/>
    <n v="147"/>
  </r>
  <r>
    <d v="2023-05-01T00:00:00"/>
    <x v="3"/>
    <n v="79"/>
    <n v="146"/>
  </r>
  <r>
    <d v="2023-06-01T00:00:00"/>
    <x v="3"/>
    <n v="105"/>
    <n v="160"/>
  </r>
  <r>
    <d v="2023-07-01T00:00:00"/>
    <x v="0"/>
    <n v="97"/>
    <n v="126"/>
  </r>
  <r>
    <d v="2023-08-01T00:00:00"/>
    <x v="1"/>
    <n v="99"/>
    <n v="133"/>
  </r>
  <r>
    <d v="2023-09-01T00:00:00"/>
    <x v="2"/>
    <n v="94"/>
    <n v="162"/>
  </r>
  <r>
    <d v="2023-01-01T00:00:00"/>
    <x v="0"/>
    <n v="125"/>
    <n v="144"/>
  </r>
  <r>
    <d v="2023-02-01T00:00:00"/>
    <x v="1"/>
    <n v="106"/>
    <n v="131"/>
  </r>
  <r>
    <d v="2023-03-01T00:00:00"/>
    <x v="0"/>
    <n v="83"/>
    <n v="163"/>
  </r>
  <r>
    <d v="2023-04-01T00:00:00"/>
    <x v="3"/>
    <n v="104"/>
    <n v="139"/>
  </r>
  <r>
    <d v="2023-05-01T00:00:00"/>
    <x v="0"/>
    <n v="95"/>
    <n v="171"/>
  </r>
  <r>
    <d v="2023-06-01T00:00:00"/>
    <x v="1"/>
    <n v="92"/>
    <n v="153"/>
  </r>
  <r>
    <d v="2023-07-01T00:00:00"/>
    <x v="2"/>
    <n v="105"/>
    <n v="143"/>
  </r>
  <r>
    <d v="2023-08-01T00:00:00"/>
    <x v="3"/>
    <n v="95"/>
    <n v="156"/>
  </r>
  <r>
    <d v="2023-09-01T00:00:00"/>
    <x v="0"/>
    <n v="103"/>
    <n v="165"/>
  </r>
  <r>
    <d v="2023-10-01T00:00:00"/>
    <x v="1"/>
    <n v="112"/>
    <n v="171"/>
  </r>
  <r>
    <d v="2023-11-01T00:00:00"/>
    <x v="2"/>
    <n v="124"/>
    <n v="149"/>
  </r>
  <r>
    <d v="2023-12-01T00:00:00"/>
    <x v="3"/>
    <n v="87"/>
    <n v="156"/>
  </r>
  <r>
    <d v="2024-01-01T00:00:00"/>
    <x v="0"/>
    <n v="84"/>
    <n v="129"/>
  </r>
  <r>
    <d v="2024-02-01T00:00:00"/>
    <x v="1"/>
    <n v="77"/>
    <n v="129"/>
  </r>
  <r>
    <d v="2024-03-01T00:00:00"/>
    <x v="2"/>
    <n v="120"/>
    <n v="148"/>
  </r>
  <r>
    <d v="2024-04-01T00:00:00"/>
    <x v="3"/>
    <n v="124"/>
    <n v="127"/>
  </r>
  <r>
    <d v="2024-05-01T00:00:00"/>
    <x v="0"/>
    <n v="123"/>
    <n v="163"/>
  </r>
  <r>
    <d v="2024-06-01T00:00:00"/>
    <x v="1"/>
    <n v="95"/>
    <n v="162"/>
  </r>
  <r>
    <d v="2024-07-01T00:00:00"/>
    <x v="2"/>
    <n v="112"/>
    <n v="133"/>
  </r>
  <r>
    <d v="2024-08-01T00:00:00"/>
    <x v="3"/>
    <n v="80"/>
    <n v="175"/>
  </r>
  <r>
    <d v="2024-09-01T00:00:00"/>
    <x v="0"/>
    <n v="121"/>
    <n v="165"/>
  </r>
  <r>
    <d v="2024-10-01T00:00:00"/>
    <x v="1"/>
    <n v="122"/>
    <n v="175"/>
  </r>
  <r>
    <d v="2024-11-01T00:00:00"/>
    <x v="2"/>
    <n v="83"/>
    <n v="152"/>
  </r>
  <r>
    <d v="2024-12-01T00:00:00"/>
    <x v="3"/>
    <n v="107"/>
    <n v="156"/>
  </r>
  <r>
    <d v="2025-01-01T00:00:00"/>
    <x v="0"/>
    <n v="109"/>
    <n v="158"/>
  </r>
  <r>
    <d v="2025-02-01T00:00:00"/>
    <x v="1"/>
    <n v="86"/>
    <n v="153"/>
  </r>
  <r>
    <d v="2025-03-01T00:00:00"/>
    <x v="2"/>
    <n v="113"/>
    <n v="145"/>
  </r>
  <r>
    <d v="2025-04-01T00:00:00"/>
    <x v="3"/>
    <n v="125"/>
    <n v="164"/>
  </r>
  <r>
    <d v="2025-05-01T00:00:00"/>
    <x v="0"/>
    <n v="114"/>
    <n v="154"/>
  </r>
  <r>
    <d v="2025-06-01T00:00:00"/>
    <x v="1"/>
    <n v="111"/>
    <n v="128"/>
  </r>
  <r>
    <d v="2025-07-01T00:00:00"/>
    <x v="2"/>
    <n v="96"/>
    <n v="168"/>
  </r>
  <r>
    <d v="2025-08-01T00:00:00"/>
    <x v="3"/>
    <n v="86"/>
    <n v="175"/>
  </r>
  <r>
    <d v="2025-09-01T00:00:00"/>
    <x v="0"/>
    <n v="120"/>
    <n v="153"/>
  </r>
  <r>
    <d v="2025-10-01T00:00:00"/>
    <x v="1"/>
    <n v="75"/>
    <n v="133"/>
  </r>
  <r>
    <d v="2025-11-01T00:00:00"/>
    <x v="2"/>
    <n v="118"/>
    <n v="143"/>
  </r>
  <r>
    <d v="2025-12-01T00:00:00"/>
    <x v="3"/>
    <n v="78"/>
    <n v="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42B3C-ACDF-4F08-BFE3-602B5FD1453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C7" firstHeaderRow="0" firstDataRow="1" firstDataCol="1"/>
  <pivotFields count="5">
    <pivotField compact="0" numFmtId="16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# of Patients" fld="2" baseField="0" baseItem="0" numFmtId="3"/>
    <dataField name="Projected 20% Increase" fld="4" baseField="0" baseItem="0" numFmtId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A24B9-4CBD-4B2D-BA8D-774A8970B502}" name="tblFilter" displayName="tblFilter" ref="A5:D74" totalsRowShown="0" headerRowBorderDxfId="11" tableBorderDxfId="12" totalsRowBorderDxfId="10">
  <tableColumns count="4">
    <tableColumn id="1" xr3:uid="{D33EE00B-DD8C-4157-BFEF-1625BD02DEC1}" name="Month/Year" dataDxfId="9" dataCellStyle="Normal#pfnQYTawpReDjHAUJwgiCjPp40jFA0liqpkqvHSDQSA="/>
    <tableColumn id="2" xr3:uid="{AFD6AED4-CF1B-4CF2-8FBE-74C1A8A90AC4}" name="Image Type" dataDxfId="8" dataCellStyle="Normal#pfnQYTawpReDjHAUJwgiCjPp40jFA0liqpkqvHSDQSA="/>
    <tableColumn id="3" xr3:uid="{DA9D61EA-5F44-4B0C-8274-404B75E56E94}" name="Patients" dataDxfId="7" dataCellStyle="Normal#pfnQYTawpReDjHAUJwgiCjPp40jFA0liqpkqvHSDQSA="/>
    <tableColumn id="4" xr3:uid="{FBABEB78-EB84-4486-B02A-A542D7091B90}" name="Equipment Usage" dataDxfId="6" dataCellStyle="Normal#pfnQYTawpReDjHAUJwgiCjPp40jFA0liqpkqvHSDQSA=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F74"/>
  <sheetViews>
    <sheetView topLeftCell="A4" zoomScale="110" zoomScaleNormal="110" workbookViewId="0">
      <selection activeCell="A5" sqref="A5:D74"/>
    </sheetView>
  </sheetViews>
  <sheetFormatPr defaultColWidth="9.09765625" defaultRowHeight="14.5" x14ac:dyDescent="0.35"/>
  <cols>
    <col min="1" max="1" width="14.296875" style="4" customWidth="1"/>
    <col min="2" max="2" width="17.3984375" style="4" customWidth="1"/>
    <col min="3" max="3" width="10.8984375" style="4" customWidth="1"/>
    <col min="4" max="4" width="13.296875" style="4" customWidth="1"/>
    <col min="5" max="11" width="9.09765625" style="4"/>
    <col min="12" max="12" width="9" style="4" customWidth="1"/>
    <col min="13" max="16384" width="9.09765625" style="4"/>
  </cols>
  <sheetData>
    <row r="1" spans="1:6" ht="20.25" customHeight="1" x14ac:dyDescent="0.45">
      <c r="A1" s="16" t="s">
        <v>5</v>
      </c>
      <c r="B1" s="16"/>
      <c r="C1" s="16"/>
      <c r="D1" s="16"/>
    </row>
    <row r="2" spans="1:6" ht="18.5" x14ac:dyDescent="0.45">
      <c r="A2" s="10" t="s">
        <v>11</v>
      </c>
      <c r="B2" s="11"/>
      <c r="C2" s="11"/>
      <c r="D2" s="11"/>
    </row>
    <row r="3" spans="1:6" ht="18.5" x14ac:dyDescent="0.45">
      <c r="A3" s="10" t="s">
        <v>16</v>
      </c>
      <c r="B3" s="11"/>
      <c r="C3" s="11"/>
      <c r="D3" s="11"/>
    </row>
    <row r="4" spans="1:6" ht="18.5" x14ac:dyDescent="0.45">
      <c r="A4" s="10"/>
      <c r="B4" s="11"/>
      <c r="C4" s="11"/>
      <c r="D4" s="11"/>
    </row>
    <row r="5" spans="1:6" ht="29" x14ac:dyDescent="0.35">
      <c r="A5" s="8" t="s">
        <v>13</v>
      </c>
      <c r="B5" s="8" t="s">
        <v>14</v>
      </c>
      <c r="C5" s="9" t="s">
        <v>0</v>
      </c>
      <c r="D5" s="9" t="s">
        <v>12</v>
      </c>
    </row>
    <row r="6" spans="1:6" x14ac:dyDescent="0.35">
      <c r="A6" s="12">
        <v>44197</v>
      </c>
      <c r="B6" s="13" t="s">
        <v>1</v>
      </c>
      <c r="C6" s="13">
        <v>120</v>
      </c>
      <c r="D6" s="13">
        <v>139</v>
      </c>
      <c r="F6" s="6"/>
    </row>
    <row r="7" spans="1:6" x14ac:dyDescent="0.35">
      <c r="A7" s="12">
        <v>44228</v>
      </c>
      <c r="B7" s="13" t="s">
        <v>4</v>
      </c>
      <c r="C7" s="13">
        <v>119</v>
      </c>
      <c r="D7" s="13">
        <v>164</v>
      </c>
      <c r="F7" s="6"/>
    </row>
    <row r="8" spans="1:6" x14ac:dyDescent="0.35">
      <c r="A8" s="12">
        <v>44256</v>
      </c>
      <c r="B8" s="13" t="s">
        <v>3</v>
      </c>
      <c r="C8" s="13">
        <v>87</v>
      </c>
      <c r="D8" s="13">
        <v>141</v>
      </c>
      <c r="F8" s="6"/>
    </row>
    <row r="9" spans="1:6" x14ac:dyDescent="0.35">
      <c r="A9" s="12">
        <v>44287</v>
      </c>
      <c r="B9" s="13" t="s">
        <v>2</v>
      </c>
      <c r="C9" s="13">
        <v>104</v>
      </c>
      <c r="D9" s="13">
        <v>133</v>
      </c>
      <c r="F9" s="6"/>
    </row>
    <row r="10" spans="1:6" x14ac:dyDescent="0.35">
      <c r="A10" s="12">
        <v>44317</v>
      </c>
      <c r="B10" s="13" t="s">
        <v>1</v>
      </c>
      <c r="C10" s="13">
        <v>106</v>
      </c>
      <c r="D10" s="13">
        <v>159</v>
      </c>
      <c r="F10" s="6"/>
    </row>
    <row r="11" spans="1:6" x14ac:dyDescent="0.35">
      <c r="A11" s="12">
        <v>44348</v>
      </c>
      <c r="B11" s="13" t="s">
        <v>4</v>
      </c>
      <c r="C11" s="13">
        <v>124</v>
      </c>
      <c r="D11" s="13">
        <v>144</v>
      </c>
      <c r="F11" s="6"/>
    </row>
    <row r="12" spans="1:6" x14ac:dyDescent="0.35">
      <c r="A12" s="12">
        <v>44378</v>
      </c>
      <c r="B12" s="13" t="s">
        <v>3</v>
      </c>
      <c r="C12" s="13">
        <v>110</v>
      </c>
      <c r="D12" s="13">
        <v>149</v>
      </c>
      <c r="F12" s="6"/>
    </row>
    <row r="13" spans="1:6" x14ac:dyDescent="0.35">
      <c r="A13" s="12">
        <v>44409</v>
      </c>
      <c r="B13" s="13" t="s">
        <v>2</v>
      </c>
      <c r="C13" s="13">
        <v>84</v>
      </c>
      <c r="D13" s="13">
        <v>126</v>
      </c>
      <c r="F13" s="6"/>
    </row>
    <row r="14" spans="1:6" x14ac:dyDescent="0.35">
      <c r="A14" s="12">
        <v>44440</v>
      </c>
      <c r="B14" s="13" t="s">
        <v>1</v>
      </c>
      <c r="C14" s="13">
        <v>85</v>
      </c>
      <c r="D14" s="13">
        <v>161</v>
      </c>
      <c r="F14" s="6"/>
    </row>
    <row r="15" spans="1:6" x14ac:dyDescent="0.35">
      <c r="A15" s="12">
        <v>44470</v>
      </c>
      <c r="B15" s="13" t="s">
        <v>4</v>
      </c>
      <c r="C15" s="13">
        <v>122</v>
      </c>
      <c r="D15" s="13">
        <v>167</v>
      </c>
      <c r="F15" s="6"/>
    </row>
    <row r="16" spans="1:6" x14ac:dyDescent="0.35">
      <c r="A16" s="12">
        <v>44501</v>
      </c>
      <c r="B16" s="13" t="s">
        <v>3</v>
      </c>
      <c r="C16" s="13">
        <v>90</v>
      </c>
      <c r="D16" s="13">
        <v>144</v>
      </c>
      <c r="F16" s="6"/>
    </row>
    <row r="17" spans="1:6" x14ac:dyDescent="0.35">
      <c r="A17" s="12">
        <v>44531</v>
      </c>
      <c r="B17" s="13" t="s">
        <v>2</v>
      </c>
      <c r="C17" s="13">
        <v>82</v>
      </c>
      <c r="D17" s="13">
        <v>163</v>
      </c>
      <c r="F17" s="6"/>
    </row>
    <row r="18" spans="1:6" x14ac:dyDescent="0.35">
      <c r="A18" s="12">
        <v>44562</v>
      </c>
      <c r="B18" s="13" t="s">
        <v>1</v>
      </c>
      <c r="C18" s="13">
        <v>88</v>
      </c>
      <c r="D18" s="13">
        <v>129</v>
      </c>
      <c r="F18" s="6"/>
    </row>
    <row r="19" spans="1:6" x14ac:dyDescent="0.35">
      <c r="A19" s="12">
        <v>44593</v>
      </c>
      <c r="B19" s="13" t="s">
        <v>4</v>
      </c>
      <c r="C19" s="13">
        <v>89</v>
      </c>
      <c r="D19" s="13">
        <v>149</v>
      </c>
      <c r="F19" s="6"/>
    </row>
    <row r="20" spans="1:6" x14ac:dyDescent="0.35">
      <c r="A20" s="12">
        <v>44621</v>
      </c>
      <c r="B20" s="13" t="s">
        <v>3</v>
      </c>
      <c r="C20" s="13">
        <v>81</v>
      </c>
      <c r="D20" s="13">
        <v>151</v>
      </c>
      <c r="F20" s="6"/>
    </row>
    <row r="21" spans="1:6" x14ac:dyDescent="0.35">
      <c r="A21" s="12">
        <v>44652</v>
      </c>
      <c r="B21" s="13" t="s">
        <v>2</v>
      </c>
      <c r="C21" s="13">
        <v>85</v>
      </c>
      <c r="D21" s="13">
        <v>157</v>
      </c>
      <c r="F21" s="6"/>
    </row>
    <row r="22" spans="1:6" x14ac:dyDescent="0.35">
      <c r="A22" s="12">
        <v>44682</v>
      </c>
      <c r="B22" s="13" t="s">
        <v>1</v>
      </c>
      <c r="C22" s="13">
        <v>123</v>
      </c>
      <c r="D22" s="13">
        <v>162</v>
      </c>
      <c r="F22" s="6"/>
    </row>
    <row r="23" spans="1:6" x14ac:dyDescent="0.35">
      <c r="A23" s="12">
        <v>44713</v>
      </c>
      <c r="B23" s="13" t="s">
        <v>4</v>
      </c>
      <c r="C23" s="13">
        <v>107</v>
      </c>
      <c r="D23" s="13">
        <v>131</v>
      </c>
      <c r="F23" s="6"/>
    </row>
    <row r="24" spans="1:6" x14ac:dyDescent="0.35">
      <c r="A24" s="12">
        <v>44743</v>
      </c>
      <c r="B24" s="13" t="s">
        <v>3</v>
      </c>
      <c r="C24" s="13">
        <v>110</v>
      </c>
      <c r="D24" s="13">
        <v>145</v>
      </c>
      <c r="F24" s="6"/>
    </row>
    <row r="25" spans="1:6" x14ac:dyDescent="0.35">
      <c r="A25" s="12">
        <v>44774</v>
      </c>
      <c r="B25" s="13" t="s">
        <v>2</v>
      </c>
      <c r="C25" s="13">
        <v>82</v>
      </c>
      <c r="D25" s="13">
        <v>158</v>
      </c>
      <c r="F25" s="6"/>
    </row>
    <row r="26" spans="1:6" x14ac:dyDescent="0.35">
      <c r="A26" s="12">
        <v>44805</v>
      </c>
      <c r="B26" s="13" t="s">
        <v>2</v>
      </c>
      <c r="C26" s="13">
        <v>77</v>
      </c>
      <c r="D26" s="13">
        <v>150</v>
      </c>
      <c r="F26" s="6"/>
    </row>
    <row r="27" spans="1:6" x14ac:dyDescent="0.35">
      <c r="A27" s="12">
        <v>44835</v>
      </c>
      <c r="B27" s="13" t="s">
        <v>1</v>
      </c>
      <c r="C27" s="13">
        <v>89</v>
      </c>
      <c r="D27" s="13">
        <v>161</v>
      </c>
      <c r="F27" s="6"/>
    </row>
    <row r="28" spans="1:6" x14ac:dyDescent="0.35">
      <c r="A28" s="12">
        <v>44866</v>
      </c>
      <c r="B28" s="13" t="s">
        <v>4</v>
      </c>
      <c r="C28" s="13">
        <v>114</v>
      </c>
      <c r="D28" s="13">
        <v>149</v>
      </c>
      <c r="F28" s="6"/>
    </row>
    <row r="29" spans="1:6" x14ac:dyDescent="0.35">
      <c r="A29" s="12">
        <v>44896</v>
      </c>
      <c r="B29" s="13" t="s">
        <v>3</v>
      </c>
      <c r="C29" s="13">
        <v>96</v>
      </c>
      <c r="D29" s="13">
        <v>127</v>
      </c>
      <c r="F29" s="6"/>
    </row>
    <row r="30" spans="1:6" x14ac:dyDescent="0.35">
      <c r="A30" s="12">
        <v>44927</v>
      </c>
      <c r="B30" s="13" t="s">
        <v>2</v>
      </c>
      <c r="C30" s="13">
        <v>86</v>
      </c>
      <c r="D30" s="13">
        <v>147</v>
      </c>
      <c r="F30" s="6"/>
    </row>
    <row r="31" spans="1:6" x14ac:dyDescent="0.35">
      <c r="A31" s="12">
        <v>44958</v>
      </c>
      <c r="B31" s="13" t="s">
        <v>1</v>
      </c>
      <c r="C31" s="13">
        <v>116</v>
      </c>
      <c r="D31" s="13">
        <v>132</v>
      </c>
      <c r="F31" s="6"/>
    </row>
    <row r="32" spans="1:6" x14ac:dyDescent="0.35">
      <c r="A32" s="12">
        <v>44986</v>
      </c>
      <c r="B32" s="13" t="s">
        <v>4</v>
      </c>
      <c r="C32" s="13">
        <v>117</v>
      </c>
      <c r="D32" s="13">
        <v>130</v>
      </c>
      <c r="F32" s="6"/>
    </row>
    <row r="33" spans="1:6" x14ac:dyDescent="0.35">
      <c r="A33" s="12">
        <v>45017</v>
      </c>
      <c r="B33" s="13" t="s">
        <v>3</v>
      </c>
      <c r="C33" s="13">
        <v>80</v>
      </c>
      <c r="D33" s="13">
        <v>147</v>
      </c>
      <c r="F33" s="6"/>
    </row>
    <row r="34" spans="1:6" x14ac:dyDescent="0.35">
      <c r="A34" s="12">
        <v>45047</v>
      </c>
      <c r="B34" s="13" t="s">
        <v>2</v>
      </c>
      <c r="C34" s="13">
        <v>79</v>
      </c>
      <c r="D34" s="13">
        <v>146</v>
      </c>
      <c r="F34" s="6"/>
    </row>
    <row r="35" spans="1:6" x14ac:dyDescent="0.35">
      <c r="A35" s="12">
        <v>45078</v>
      </c>
      <c r="B35" s="13" t="s">
        <v>2</v>
      </c>
      <c r="C35" s="13">
        <v>105</v>
      </c>
      <c r="D35" s="13">
        <v>160</v>
      </c>
      <c r="F35" s="6"/>
    </row>
    <row r="36" spans="1:6" x14ac:dyDescent="0.35">
      <c r="A36" s="12">
        <v>45108</v>
      </c>
      <c r="B36" s="13" t="s">
        <v>1</v>
      </c>
      <c r="C36" s="13">
        <v>97</v>
      </c>
      <c r="D36" s="13">
        <v>126</v>
      </c>
      <c r="F36" s="6"/>
    </row>
    <row r="37" spans="1:6" x14ac:dyDescent="0.35">
      <c r="A37" s="12">
        <v>45139</v>
      </c>
      <c r="B37" s="13" t="s">
        <v>4</v>
      </c>
      <c r="C37" s="13">
        <v>99</v>
      </c>
      <c r="D37" s="13">
        <v>133</v>
      </c>
      <c r="F37" s="6"/>
    </row>
    <row r="38" spans="1:6" x14ac:dyDescent="0.35">
      <c r="A38" s="12">
        <v>45170</v>
      </c>
      <c r="B38" s="13" t="s">
        <v>3</v>
      </c>
      <c r="C38" s="13">
        <v>94</v>
      </c>
      <c r="D38" s="13">
        <v>162</v>
      </c>
      <c r="F38" s="6"/>
    </row>
    <row r="39" spans="1:6" x14ac:dyDescent="0.35">
      <c r="A39" s="14">
        <v>44927</v>
      </c>
      <c r="B39" s="15" t="s">
        <v>1</v>
      </c>
      <c r="C39" s="15">
        <v>125</v>
      </c>
      <c r="D39" s="15">
        <v>144</v>
      </c>
      <c r="F39" s="6"/>
    </row>
    <row r="40" spans="1:6" x14ac:dyDescent="0.35">
      <c r="A40" s="12">
        <v>44958</v>
      </c>
      <c r="B40" s="13" t="s">
        <v>4</v>
      </c>
      <c r="C40" s="13">
        <v>106</v>
      </c>
      <c r="D40" s="13">
        <v>131</v>
      </c>
      <c r="F40" s="6"/>
    </row>
    <row r="41" spans="1:6" x14ac:dyDescent="0.35">
      <c r="A41" s="12">
        <v>44986</v>
      </c>
      <c r="B41" s="13" t="s">
        <v>1</v>
      </c>
      <c r="C41" s="13">
        <v>83</v>
      </c>
      <c r="D41" s="13">
        <v>163</v>
      </c>
      <c r="F41" s="6"/>
    </row>
    <row r="42" spans="1:6" x14ac:dyDescent="0.35">
      <c r="A42" s="12">
        <v>45017</v>
      </c>
      <c r="B42" s="13" t="s">
        <v>2</v>
      </c>
      <c r="C42" s="13">
        <v>104</v>
      </c>
      <c r="D42" s="13">
        <v>139</v>
      </c>
      <c r="F42" s="6"/>
    </row>
    <row r="43" spans="1:6" x14ac:dyDescent="0.35">
      <c r="A43" s="12">
        <v>45047</v>
      </c>
      <c r="B43" s="13" t="s">
        <v>1</v>
      </c>
      <c r="C43" s="13">
        <v>95</v>
      </c>
      <c r="D43" s="13">
        <v>171</v>
      </c>
      <c r="F43" s="6"/>
    </row>
    <row r="44" spans="1:6" x14ac:dyDescent="0.35">
      <c r="A44" s="12">
        <v>45078</v>
      </c>
      <c r="B44" s="13" t="s">
        <v>4</v>
      </c>
      <c r="C44" s="13">
        <v>92</v>
      </c>
      <c r="D44" s="13">
        <v>153</v>
      </c>
      <c r="F44" s="6"/>
    </row>
    <row r="45" spans="1:6" x14ac:dyDescent="0.35">
      <c r="A45" s="12">
        <v>45108</v>
      </c>
      <c r="B45" s="13" t="s">
        <v>3</v>
      </c>
      <c r="C45" s="13">
        <v>105</v>
      </c>
      <c r="D45" s="13">
        <v>143</v>
      </c>
      <c r="F45" s="6"/>
    </row>
    <row r="46" spans="1:6" x14ac:dyDescent="0.35">
      <c r="A46" s="12">
        <v>45139</v>
      </c>
      <c r="B46" s="13" t="s">
        <v>2</v>
      </c>
      <c r="C46" s="13">
        <v>95</v>
      </c>
      <c r="D46" s="13">
        <v>156</v>
      </c>
      <c r="F46" s="6"/>
    </row>
    <row r="47" spans="1:6" x14ac:dyDescent="0.35">
      <c r="A47" s="12">
        <v>45170</v>
      </c>
      <c r="B47" s="13" t="s">
        <v>1</v>
      </c>
      <c r="C47" s="13">
        <v>103</v>
      </c>
      <c r="D47" s="13">
        <v>165</v>
      </c>
      <c r="F47" s="6"/>
    </row>
    <row r="48" spans="1:6" x14ac:dyDescent="0.35">
      <c r="A48" s="12">
        <v>45200</v>
      </c>
      <c r="B48" s="13" t="s">
        <v>4</v>
      </c>
      <c r="C48" s="13">
        <v>112</v>
      </c>
      <c r="D48" s="13">
        <v>171</v>
      </c>
      <c r="F48" s="6"/>
    </row>
    <row r="49" spans="1:6" x14ac:dyDescent="0.35">
      <c r="A49" s="12">
        <v>45231</v>
      </c>
      <c r="B49" s="13" t="s">
        <v>3</v>
      </c>
      <c r="C49" s="13">
        <v>124</v>
      </c>
      <c r="D49" s="13">
        <v>149</v>
      </c>
      <c r="F49" s="6"/>
    </row>
    <row r="50" spans="1:6" x14ac:dyDescent="0.35">
      <c r="A50" s="12">
        <v>45261</v>
      </c>
      <c r="B50" s="13" t="s">
        <v>2</v>
      </c>
      <c r="C50" s="13">
        <v>87</v>
      </c>
      <c r="D50" s="13">
        <v>156</v>
      </c>
      <c r="F50" s="6"/>
    </row>
    <row r="51" spans="1:6" x14ac:dyDescent="0.35">
      <c r="A51" s="12">
        <v>45292</v>
      </c>
      <c r="B51" s="13" t="s">
        <v>1</v>
      </c>
      <c r="C51" s="13">
        <v>84</v>
      </c>
      <c r="D51" s="13">
        <v>129</v>
      </c>
      <c r="F51" s="6"/>
    </row>
    <row r="52" spans="1:6" x14ac:dyDescent="0.35">
      <c r="A52" s="12">
        <v>45323</v>
      </c>
      <c r="B52" s="13" t="s">
        <v>4</v>
      </c>
      <c r="C52" s="13">
        <v>77</v>
      </c>
      <c r="D52" s="13">
        <v>129</v>
      </c>
      <c r="F52" s="6"/>
    </row>
    <row r="53" spans="1:6" x14ac:dyDescent="0.35">
      <c r="A53" s="12">
        <v>45352</v>
      </c>
      <c r="B53" s="13" t="s">
        <v>3</v>
      </c>
      <c r="C53" s="13">
        <v>120</v>
      </c>
      <c r="D53" s="13">
        <v>148</v>
      </c>
      <c r="F53" s="6"/>
    </row>
    <row r="54" spans="1:6" x14ac:dyDescent="0.35">
      <c r="A54" s="12">
        <v>45383</v>
      </c>
      <c r="B54" s="13" t="s">
        <v>2</v>
      </c>
      <c r="C54" s="13">
        <v>124</v>
      </c>
      <c r="D54" s="13">
        <v>127</v>
      </c>
      <c r="F54" s="6"/>
    </row>
    <row r="55" spans="1:6" x14ac:dyDescent="0.35">
      <c r="A55" s="12">
        <v>45413</v>
      </c>
      <c r="B55" s="13" t="s">
        <v>1</v>
      </c>
      <c r="C55" s="13">
        <v>123</v>
      </c>
      <c r="D55" s="13">
        <v>163</v>
      </c>
      <c r="F55" s="6"/>
    </row>
    <row r="56" spans="1:6" x14ac:dyDescent="0.35">
      <c r="A56" s="12">
        <v>45444</v>
      </c>
      <c r="B56" s="13" t="s">
        <v>4</v>
      </c>
      <c r="C56" s="13">
        <v>95</v>
      </c>
      <c r="D56" s="13">
        <v>162</v>
      </c>
      <c r="F56" s="6"/>
    </row>
    <row r="57" spans="1:6" x14ac:dyDescent="0.35">
      <c r="A57" s="12">
        <v>45474</v>
      </c>
      <c r="B57" s="13" t="s">
        <v>3</v>
      </c>
      <c r="C57" s="13">
        <v>112</v>
      </c>
      <c r="D57" s="13">
        <v>133</v>
      </c>
      <c r="F57" s="6"/>
    </row>
    <row r="58" spans="1:6" x14ac:dyDescent="0.35">
      <c r="A58" s="12">
        <v>45505</v>
      </c>
      <c r="B58" s="13" t="s">
        <v>2</v>
      </c>
      <c r="C58" s="13">
        <v>80</v>
      </c>
      <c r="D58" s="13">
        <v>175</v>
      </c>
      <c r="F58" s="6"/>
    </row>
    <row r="59" spans="1:6" x14ac:dyDescent="0.35">
      <c r="A59" s="12">
        <v>45536</v>
      </c>
      <c r="B59" s="13" t="s">
        <v>1</v>
      </c>
      <c r="C59" s="13">
        <v>121</v>
      </c>
      <c r="D59" s="13">
        <v>165</v>
      </c>
      <c r="F59" s="6"/>
    </row>
    <row r="60" spans="1:6" x14ac:dyDescent="0.35">
      <c r="A60" s="12">
        <v>45566</v>
      </c>
      <c r="B60" s="13" t="s">
        <v>4</v>
      </c>
      <c r="C60" s="13">
        <v>122</v>
      </c>
      <c r="D60" s="13">
        <v>175</v>
      </c>
      <c r="F60" s="6"/>
    </row>
    <row r="61" spans="1:6" x14ac:dyDescent="0.35">
      <c r="A61" s="12">
        <v>45597</v>
      </c>
      <c r="B61" s="13" t="s">
        <v>3</v>
      </c>
      <c r="C61" s="13">
        <v>83</v>
      </c>
      <c r="D61" s="13">
        <v>152</v>
      </c>
      <c r="F61" s="6"/>
    </row>
    <row r="62" spans="1:6" x14ac:dyDescent="0.35">
      <c r="A62" s="12">
        <v>45627</v>
      </c>
      <c r="B62" s="13" t="s">
        <v>2</v>
      </c>
      <c r="C62" s="13">
        <v>107</v>
      </c>
      <c r="D62" s="13">
        <v>156</v>
      </c>
      <c r="F62" s="6"/>
    </row>
    <row r="63" spans="1:6" x14ac:dyDescent="0.35">
      <c r="A63" s="12">
        <v>45658</v>
      </c>
      <c r="B63" s="13" t="s">
        <v>1</v>
      </c>
      <c r="C63" s="13">
        <v>109</v>
      </c>
      <c r="D63" s="13">
        <v>158</v>
      </c>
      <c r="F63" s="6"/>
    </row>
    <row r="64" spans="1:6" x14ac:dyDescent="0.35">
      <c r="A64" s="12">
        <v>45689</v>
      </c>
      <c r="B64" s="13" t="s">
        <v>4</v>
      </c>
      <c r="C64" s="13">
        <v>86</v>
      </c>
      <c r="D64" s="13">
        <v>153</v>
      </c>
      <c r="F64" s="6"/>
    </row>
    <row r="65" spans="1:6" x14ac:dyDescent="0.35">
      <c r="A65" s="12">
        <v>45717</v>
      </c>
      <c r="B65" s="13" t="s">
        <v>3</v>
      </c>
      <c r="C65" s="13">
        <v>113</v>
      </c>
      <c r="D65" s="13">
        <v>145</v>
      </c>
      <c r="F65" s="6"/>
    </row>
    <row r="66" spans="1:6" x14ac:dyDescent="0.35">
      <c r="A66" s="12">
        <v>45748</v>
      </c>
      <c r="B66" s="13" t="s">
        <v>2</v>
      </c>
      <c r="C66" s="13">
        <v>125</v>
      </c>
      <c r="D66" s="13">
        <v>164</v>
      </c>
      <c r="F66" s="6"/>
    </row>
    <row r="67" spans="1:6" x14ac:dyDescent="0.35">
      <c r="A67" s="12">
        <v>45778</v>
      </c>
      <c r="B67" s="13" t="s">
        <v>1</v>
      </c>
      <c r="C67" s="13">
        <v>114</v>
      </c>
      <c r="D67" s="13">
        <v>154</v>
      </c>
      <c r="F67" s="6"/>
    </row>
    <row r="68" spans="1:6" x14ac:dyDescent="0.35">
      <c r="A68" s="12">
        <v>45809</v>
      </c>
      <c r="B68" s="13" t="s">
        <v>4</v>
      </c>
      <c r="C68" s="13">
        <v>111</v>
      </c>
      <c r="D68" s="13">
        <v>128</v>
      </c>
      <c r="F68" s="6"/>
    </row>
    <row r="69" spans="1:6" x14ac:dyDescent="0.35">
      <c r="A69" s="12">
        <v>45839</v>
      </c>
      <c r="B69" s="13" t="s">
        <v>3</v>
      </c>
      <c r="C69" s="13">
        <v>96</v>
      </c>
      <c r="D69" s="13">
        <v>168</v>
      </c>
      <c r="F69" s="6"/>
    </row>
    <row r="70" spans="1:6" x14ac:dyDescent="0.35">
      <c r="A70" s="12">
        <v>45870</v>
      </c>
      <c r="B70" s="13" t="s">
        <v>2</v>
      </c>
      <c r="C70" s="13">
        <v>86</v>
      </c>
      <c r="D70" s="13">
        <v>175</v>
      </c>
      <c r="F70" s="6"/>
    </row>
    <row r="71" spans="1:6" x14ac:dyDescent="0.35">
      <c r="A71" s="12">
        <v>45901</v>
      </c>
      <c r="B71" s="13" t="s">
        <v>1</v>
      </c>
      <c r="C71" s="13">
        <v>120</v>
      </c>
      <c r="D71" s="13">
        <v>153</v>
      </c>
      <c r="F71" s="6"/>
    </row>
    <row r="72" spans="1:6" x14ac:dyDescent="0.35">
      <c r="A72" s="12">
        <v>45931</v>
      </c>
      <c r="B72" s="13" t="s">
        <v>4</v>
      </c>
      <c r="C72" s="13">
        <v>75</v>
      </c>
      <c r="D72" s="13">
        <v>133</v>
      </c>
      <c r="F72" s="6"/>
    </row>
    <row r="73" spans="1:6" x14ac:dyDescent="0.35">
      <c r="A73" s="12">
        <v>45962</v>
      </c>
      <c r="B73" s="13" t="s">
        <v>3</v>
      </c>
      <c r="C73" s="13">
        <v>118</v>
      </c>
      <c r="D73" s="13">
        <v>143</v>
      </c>
      <c r="F73" s="6"/>
    </row>
    <row r="74" spans="1:6" x14ac:dyDescent="0.35">
      <c r="A74" s="12">
        <v>45992</v>
      </c>
      <c r="B74" s="13" t="s">
        <v>2</v>
      </c>
      <c r="C74" s="13">
        <v>78</v>
      </c>
      <c r="D74" s="13">
        <v>174</v>
      </c>
      <c r="F74" s="6"/>
    </row>
  </sheetData>
  <mergeCells count="1">
    <mergeCell ref="A1:D1"/>
  </mergeCells>
  <phoneticPr fontId="2" type="noConversion"/>
  <pageMargins left="0.75" right="0.75" top="1" bottom="1" header="0.5" footer="0.5"/>
  <pageSetup orientation="portrait" r:id="rId1"/>
  <headerFooter alignWithMargins="0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59C9-7A5E-4C48-A9D9-70160A10B95E}">
  <sheetPr>
    <tabColor theme="1"/>
  </sheetPr>
  <dimension ref="A1:J74"/>
  <sheetViews>
    <sheetView topLeftCell="A31" zoomScale="110" zoomScaleNormal="110" workbookViewId="0">
      <selection activeCell="H24" sqref="H24"/>
    </sheetView>
  </sheetViews>
  <sheetFormatPr defaultColWidth="9.09765625" defaultRowHeight="14.5" x14ac:dyDescent="0.35"/>
  <cols>
    <col min="1" max="1" width="14.296875" style="4" customWidth="1"/>
    <col min="2" max="2" width="17.3984375" style="4" customWidth="1"/>
    <col min="3" max="3" width="10.8984375" style="4" customWidth="1"/>
    <col min="4" max="4" width="18.59765625" style="4" customWidth="1"/>
    <col min="5" max="6" width="9.09765625" style="4"/>
    <col min="7" max="7" width="12.09765625" style="4" customWidth="1"/>
    <col min="8" max="8" width="15.59765625" style="4" bestFit="1" customWidth="1"/>
    <col min="9" max="9" width="8.5" style="4" bestFit="1" customWidth="1"/>
    <col min="10" max="10" width="18.796875" style="4" customWidth="1"/>
    <col min="11" max="11" width="9.09765625" style="4"/>
    <col min="12" max="12" width="9" style="4" customWidth="1"/>
    <col min="13" max="16384" width="9.09765625" style="4"/>
  </cols>
  <sheetData>
    <row r="1" spans="1:10" ht="20.25" customHeight="1" x14ac:dyDescent="0.45">
      <c r="A1" s="16" t="s">
        <v>5</v>
      </c>
      <c r="B1" s="16"/>
      <c r="C1" s="16"/>
      <c r="D1" s="16"/>
    </row>
    <row r="2" spans="1:10" ht="18.5" x14ac:dyDescent="0.45">
      <c r="A2" s="10" t="s">
        <v>11</v>
      </c>
      <c r="B2" s="11"/>
      <c r="C2" s="11"/>
      <c r="D2" s="11"/>
    </row>
    <row r="3" spans="1:10" ht="18.5" x14ac:dyDescent="0.45">
      <c r="A3" s="10" t="s">
        <v>16</v>
      </c>
      <c r="B3" s="11"/>
      <c r="C3" s="11"/>
      <c r="D3" s="11"/>
    </row>
    <row r="4" spans="1:10" ht="18.5" x14ac:dyDescent="0.45">
      <c r="A4" s="10"/>
      <c r="B4" s="11"/>
      <c r="C4" s="11"/>
      <c r="D4" s="11"/>
      <c r="G4" s="34" t="s">
        <v>17</v>
      </c>
    </row>
    <row r="5" spans="1:10" x14ac:dyDescent="0.35">
      <c r="A5" s="19" t="s">
        <v>13</v>
      </c>
      <c r="B5" s="20" t="s">
        <v>14</v>
      </c>
      <c r="C5" s="21" t="s">
        <v>0</v>
      </c>
      <c r="D5" s="22" t="s">
        <v>12</v>
      </c>
      <c r="G5" s="32" t="s">
        <v>13</v>
      </c>
      <c r="H5" s="32" t="s">
        <v>14</v>
      </c>
      <c r="I5" s="33" t="s">
        <v>0</v>
      </c>
      <c r="J5" s="33" t="s">
        <v>12</v>
      </c>
    </row>
    <row r="6" spans="1:10" x14ac:dyDescent="0.35">
      <c r="A6" s="17">
        <v>44197</v>
      </c>
      <c r="B6" s="13" t="s">
        <v>1</v>
      </c>
      <c r="C6" s="13">
        <v>120</v>
      </c>
      <c r="D6" s="18">
        <v>139</v>
      </c>
      <c r="F6" s="6"/>
      <c r="G6" s="35">
        <v>45017</v>
      </c>
      <c r="H6" s="36" t="s">
        <v>3</v>
      </c>
      <c r="I6" s="36">
        <v>80</v>
      </c>
      <c r="J6" s="36">
        <v>147</v>
      </c>
    </row>
    <row r="7" spans="1:10" x14ac:dyDescent="0.35">
      <c r="A7" s="17">
        <v>44228</v>
      </c>
      <c r="B7" s="13" t="s">
        <v>4</v>
      </c>
      <c r="C7" s="13">
        <v>119</v>
      </c>
      <c r="D7" s="18">
        <v>164</v>
      </c>
      <c r="F7" s="6"/>
      <c r="G7" s="35">
        <v>45108</v>
      </c>
      <c r="H7" s="36" t="s">
        <v>3</v>
      </c>
      <c r="I7" s="36">
        <v>105</v>
      </c>
      <c r="J7" s="36">
        <v>143</v>
      </c>
    </row>
    <row r="8" spans="1:10" x14ac:dyDescent="0.35">
      <c r="A8" s="17">
        <v>44256</v>
      </c>
      <c r="B8" s="13" t="s">
        <v>3</v>
      </c>
      <c r="C8" s="13">
        <v>87</v>
      </c>
      <c r="D8" s="18">
        <v>141</v>
      </c>
      <c r="F8" s="6"/>
      <c r="G8" s="35">
        <v>45170</v>
      </c>
      <c r="H8" s="36" t="s">
        <v>3</v>
      </c>
      <c r="I8" s="36">
        <v>94</v>
      </c>
      <c r="J8" s="36">
        <v>162</v>
      </c>
    </row>
    <row r="9" spans="1:10" x14ac:dyDescent="0.35">
      <c r="A9" s="17">
        <v>44287</v>
      </c>
      <c r="B9" s="13" t="s">
        <v>2</v>
      </c>
      <c r="C9" s="13">
        <v>104</v>
      </c>
      <c r="D9" s="18">
        <v>133</v>
      </c>
      <c r="F9" s="6"/>
      <c r="G9" s="35">
        <v>45231</v>
      </c>
      <c r="H9" s="36" t="s">
        <v>3</v>
      </c>
      <c r="I9" s="36">
        <v>124</v>
      </c>
      <c r="J9" s="36">
        <v>149</v>
      </c>
    </row>
    <row r="10" spans="1:10" x14ac:dyDescent="0.35">
      <c r="A10" s="17">
        <v>44317</v>
      </c>
      <c r="B10" s="13" t="s">
        <v>1</v>
      </c>
      <c r="C10" s="13">
        <v>106</v>
      </c>
      <c r="D10" s="18">
        <v>159</v>
      </c>
      <c r="F10" s="6"/>
      <c r="G10" s="35">
        <v>44927</v>
      </c>
      <c r="H10" s="36" t="s">
        <v>2</v>
      </c>
      <c r="I10" s="36">
        <v>86</v>
      </c>
      <c r="J10" s="36">
        <v>147</v>
      </c>
    </row>
    <row r="11" spans="1:10" x14ac:dyDescent="0.35">
      <c r="A11" s="17">
        <v>44348</v>
      </c>
      <c r="B11" s="13" t="s">
        <v>4</v>
      </c>
      <c r="C11" s="13">
        <v>124</v>
      </c>
      <c r="D11" s="18">
        <v>144</v>
      </c>
      <c r="F11" s="6"/>
      <c r="G11" s="35">
        <v>45017</v>
      </c>
      <c r="H11" s="36" t="s">
        <v>2</v>
      </c>
      <c r="I11" s="36">
        <v>104</v>
      </c>
      <c r="J11" s="36">
        <v>139</v>
      </c>
    </row>
    <row r="12" spans="1:10" x14ac:dyDescent="0.35">
      <c r="A12" s="17">
        <v>44378</v>
      </c>
      <c r="B12" s="13" t="s">
        <v>3</v>
      </c>
      <c r="C12" s="13">
        <v>110</v>
      </c>
      <c r="D12" s="18">
        <v>149</v>
      </c>
      <c r="F12" s="6"/>
      <c r="G12" s="35">
        <v>45047</v>
      </c>
      <c r="H12" s="36" t="s">
        <v>2</v>
      </c>
      <c r="I12" s="36">
        <v>79</v>
      </c>
      <c r="J12" s="36">
        <v>146</v>
      </c>
    </row>
    <row r="13" spans="1:10" x14ac:dyDescent="0.35">
      <c r="A13" s="17">
        <v>44409</v>
      </c>
      <c r="B13" s="13" t="s">
        <v>2</v>
      </c>
      <c r="C13" s="13">
        <v>84</v>
      </c>
      <c r="D13" s="18">
        <v>126</v>
      </c>
      <c r="F13" s="6"/>
      <c r="G13" s="35">
        <v>45078</v>
      </c>
      <c r="H13" s="36" t="s">
        <v>2</v>
      </c>
      <c r="I13" s="36">
        <v>105</v>
      </c>
      <c r="J13" s="36">
        <v>160</v>
      </c>
    </row>
    <row r="14" spans="1:10" x14ac:dyDescent="0.35">
      <c r="A14" s="17">
        <v>44440</v>
      </c>
      <c r="B14" s="13" t="s">
        <v>1</v>
      </c>
      <c r="C14" s="13">
        <v>85</v>
      </c>
      <c r="D14" s="18">
        <v>161</v>
      </c>
      <c r="F14" s="6"/>
      <c r="G14" s="35">
        <v>45139</v>
      </c>
      <c r="H14" s="36" t="s">
        <v>2</v>
      </c>
      <c r="I14" s="36">
        <v>95</v>
      </c>
      <c r="J14" s="36">
        <v>156</v>
      </c>
    </row>
    <row r="15" spans="1:10" x14ac:dyDescent="0.35">
      <c r="A15" s="17">
        <v>44470</v>
      </c>
      <c r="B15" s="13" t="s">
        <v>4</v>
      </c>
      <c r="C15" s="13">
        <v>122</v>
      </c>
      <c r="D15" s="18">
        <v>167</v>
      </c>
      <c r="F15" s="6"/>
      <c r="G15" s="35">
        <v>45261</v>
      </c>
      <c r="H15" s="36" t="s">
        <v>2</v>
      </c>
      <c r="I15" s="36">
        <v>87</v>
      </c>
      <c r="J15" s="36">
        <v>156</v>
      </c>
    </row>
    <row r="16" spans="1:10" x14ac:dyDescent="0.35">
      <c r="A16" s="17">
        <v>44501</v>
      </c>
      <c r="B16" s="13" t="s">
        <v>3</v>
      </c>
      <c r="C16" s="13">
        <v>90</v>
      </c>
      <c r="D16" s="18">
        <v>144</v>
      </c>
      <c r="F16" s="6"/>
      <c r="G16" s="35">
        <v>44927</v>
      </c>
      <c r="H16" s="36" t="s">
        <v>1</v>
      </c>
      <c r="I16" s="36">
        <v>125</v>
      </c>
      <c r="J16" s="36">
        <v>144</v>
      </c>
    </row>
    <row r="17" spans="1:10" x14ac:dyDescent="0.35">
      <c r="A17" s="17">
        <v>44531</v>
      </c>
      <c r="B17" s="13" t="s">
        <v>2</v>
      </c>
      <c r="C17" s="13">
        <v>82</v>
      </c>
      <c r="D17" s="18">
        <v>163</v>
      </c>
      <c r="F17" s="6"/>
      <c r="G17" s="35">
        <v>44958</v>
      </c>
      <c r="H17" s="36" t="s">
        <v>1</v>
      </c>
      <c r="I17" s="36">
        <v>116</v>
      </c>
      <c r="J17" s="36">
        <v>132</v>
      </c>
    </row>
    <row r="18" spans="1:10" x14ac:dyDescent="0.35">
      <c r="A18" s="17">
        <v>44562</v>
      </c>
      <c r="B18" s="13" t="s">
        <v>1</v>
      </c>
      <c r="C18" s="13">
        <v>88</v>
      </c>
      <c r="D18" s="18">
        <v>129</v>
      </c>
      <c r="F18" s="6"/>
      <c r="G18" s="35">
        <v>44986</v>
      </c>
      <c r="H18" s="36" t="s">
        <v>1</v>
      </c>
      <c r="I18" s="36">
        <v>83</v>
      </c>
      <c r="J18" s="36">
        <v>163</v>
      </c>
    </row>
    <row r="19" spans="1:10" x14ac:dyDescent="0.35">
      <c r="A19" s="17">
        <v>44593</v>
      </c>
      <c r="B19" s="13" t="s">
        <v>4</v>
      </c>
      <c r="C19" s="13">
        <v>89</v>
      </c>
      <c r="D19" s="18">
        <v>149</v>
      </c>
      <c r="F19" s="6"/>
      <c r="G19" s="35">
        <v>45047</v>
      </c>
      <c r="H19" s="36" t="s">
        <v>1</v>
      </c>
      <c r="I19" s="36">
        <v>95</v>
      </c>
      <c r="J19" s="36">
        <v>171</v>
      </c>
    </row>
    <row r="20" spans="1:10" x14ac:dyDescent="0.35">
      <c r="A20" s="17">
        <v>44621</v>
      </c>
      <c r="B20" s="13" t="s">
        <v>3</v>
      </c>
      <c r="C20" s="13">
        <v>81</v>
      </c>
      <c r="D20" s="18">
        <v>151</v>
      </c>
      <c r="F20" s="6"/>
      <c r="G20" s="35">
        <v>45108</v>
      </c>
      <c r="H20" s="36" t="s">
        <v>1</v>
      </c>
      <c r="I20" s="36">
        <v>97</v>
      </c>
      <c r="J20" s="36">
        <v>126</v>
      </c>
    </row>
    <row r="21" spans="1:10" x14ac:dyDescent="0.35">
      <c r="A21" s="17">
        <v>44652</v>
      </c>
      <c r="B21" s="13" t="s">
        <v>2</v>
      </c>
      <c r="C21" s="13">
        <v>85</v>
      </c>
      <c r="D21" s="18">
        <v>157</v>
      </c>
      <c r="F21" s="6"/>
      <c r="G21" s="35">
        <v>45170</v>
      </c>
      <c r="H21" s="36" t="s">
        <v>1</v>
      </c>
      <c r="I21" s="36">
        <v>103</v>
      </c>
      <c r="J21" s="36">
        <v>165</v>
      </c>
    </row>
    <row r="22" spans="1:10" x14ac:dyDescent="0.35">
      <c r="A22" s="17">
        <v>44682</v>
      </c>
      <c r="B22" s="13" t="s">
        <v>1</v>
      </c>
      <c r="C22" s="13">
        <v>123</v>
      </c>
      <c r="D22" s="18">
        <v>162</v>
      </c>
      <c r="F22" s="6"/>
      <c r="G22" s="35">
        <v>45292</v>
      </c>
      <c r="H22" s="36" t="s">
        <v>1</v>
      </c>
      <c r="I22" s="36">
        <v>84</v>
      </c>
      <c r="J22" s="36">
        <v>129</v>
      </c>
    </row>
    <row r="23" spans="1:10" x14ac:dyDescent="0.35">
      <c r="A23" s="17">
        <v>44713</v>
      </c>
      <c r="B23" s="13" t="s">
        <v>4</v>
      </c>
      <c r="C23" s="13">
        <v>107</v>
      </c>
      <c r="D23" s="18">
        <v>131</v>
      </c>
      <c r="F23" s="6"/>
      <c r="G23" s="35">
        <v>44958</v>
      </c>
      <c r="H23" s="36" t="s">
        <v>4</v>
      </c>
      <c r="I23" s="36">
        <v>106</v>
      </c>
      <c r="J23" s="36">
        <v>131</v>
      </c>
    </row>
    <row r="24" spans="1:10" x14ac:dyDescent="0.35">
      <c r="A24" s="17">
        <v>44743</v>
      </c>
      <c r="B24" s="13" t="s">
        <v>3</v>
      </c>
      <c r="C24" s="13">
        <v>110</v>
      </c>
      <c r="D24" s="18">
        <v>145</v>
      </c>
      <c r="F24" s="6"/>
      <c r="G24" s="35">
        <v>44986</v>
      </c>
      <c r="H24" s="36" t="s">
        <v>4</v>
      </c>
      <c r="I24" s="36">
        <v>117</v>
      </c>
      <c r="J24" s="36">
        <v>130</v>
      </c>
    </row>
    <row r="25" spans="1:10" x14ac:dyDescent="0.35">
      <c r="A25" s="23">
        <v>44774</v>
      </c>
      <c r="B25" s="24" t="s">
        <v>2</v>
      </c>
      <c r="C25" s="24">
        <v>82</v>
      </c>
      <c r="D25" s="25">
        <v>158</v>
      </c>
      <c r="F25" s="6"/>
      <c r="G25" s="35">
        <v>45078</v>
      </c>
      <c r="H25" s="36" t="s">
        <v>4</v>
      </c>
      <c r="I25" s="36">
        <v>92</v>
      </c>
      <c r="J25" s="36">
        <v>153</v>
      </c>
    </row>
    <row r="26" spans="1:10" x14ac:dyDescent="0.35">
      <c r="A26" s="26">
        <v>44805</v>
      </c>
      <c r="B26" s="27" t="s">
        <v>2</v>
      </c>
      <c r="C26" s="27">
        <v>77</v>
      </c>
      <c r="D26" s="28">
        <v>150</v>
      </c>
      <c r="F26" s="6"/>
      <c r="G26" s="35">
        <v>45139</v>
      </c>
      <c r="H26" s="36" t="s">
        <v>4</v>
      </c>
      <c r="I26" s="36">
        <v>99</v>
      </c>
      <c r="J26" s="36">
        <v>133</v>
      </c>
    </row>
    <row r="27" spans="1:10" x14ac:dyDescent="0.35">
      <c r="A27" s="26">
        <v>44835</v>
      </c>
      <c r="B27" s="27" t="s">
        <v>1</v>
      </c>
      <c r="C27" s="27">
        <v>89</v>
      </c>
      <c r="D27" s="28">
        <v>161</v>
      </c>
      <c r="F27" s="6"/>
      <c r="G27" s="35">
        <v>45200</v>
      </c>
      <c r="H27" s="36" t="s">
        <v>4</v>
      </c>
      <c r="I27" s="36">
        <v>112</v>
      </c>
      <c r="J27" s="36">
        <v>171</v>
      </c>
    </row>
    <row r="28" spans="1:10" x14ac:dyDescent="0.35">
      <c r="A28" s="26">
        <v>44866</v>
      </c>
      <c r="B28" s="27" t="s">
        <v>4</v>
      </c>
      <c r="C28" s="27">
        <v>114</v>
      </c>
      <c r="D28" s="28">
        <v>149</v>
      </c>
      <c r="F28" s="6"/>
    </row>
    <row r="29" spans="1:10" x14ac:dyDescent="0.35">
      <c r="A29" s="26">
        <v>44896</v>
      </c>
      <c r="B29" s="27" t="s">
        <v>3</v>
      </c>
      <c r="C29" s="27">
        <v>96</v>
      </c>
      <c r="D29" s="28">
        <v>127</v>
      </c>
      <c r="F29" s="6"/>
    </row>
    <row r="30" spans="1:10" x14ac:dyDescent="0.35">
      <c r="A30" s="26">
        <v>44927</v>
      </c>
      <c r="B30" s="27" t="s">
        <v>2</v>
      </c>
      <c r="C30" s="27">
        <v>86</v>
      </c>
      <c r="D30" s="28">
        <v>147</v>
      </c>
      <c r="F30" s="6"/>
    </row>
    <row r="31" spans="1:10" x14ac:dyDescent="0.35">
      <c r="A31" s="26">
        <v>44958</v>
      </c>
      <c r="B31" s="27" t="s">
        <v>1</v>
      </c>
      <c r="C31" s="27">
        <v>116</v>
      </c>
      <c r="D31" s="28">
        <v>132</v>
      </c>
      <c r="F31" s="6"/>
    </row>
    <row r="32" spans="1:10" x14ac:dyDescent="0.35">
      <c r="A32" s="26">
        <v>44986</v>
      </c>
      <c r="B32" s="27" t="s">
        <v>4</v>
      </c>
      <c r="C32" s="27">
        <v>117</v>
      </c>
      <c r="D32" s="28">
        <v>130</v>
      </c>
      <c r="F32" s="6"/>
    </row>
    <row r="33" spans="1:6" x14ac:dyDescent="0.35">
      <c r="A33" s="26">
        <v>45017</v>
      </c>
      <c r="B33" s="27" t="s">
        <v>3</v>
      </c>
      <c r="C33" s="27">
        <v>80</v>
      </c>
      <c r="D33" s="28">
        <v>147</v>
      </c>
      <c r="F33" s="6"/>
    </row>
    <row r="34" spans="1:6" x14ac:dyDescent="0.35">
      <c r="A34" s="26">
        <v>45047</v>
      </c>
      <c r="B34" s="27" t="s">
        <v>2</v>
      </c>
      <c r="C34" s="27">
        <v>79</v>
      </c>
      <c r="D34" s="28">
        <v>146</v>
      </c>
      <c r="F34" s="6"/>
    </row>
    <row r="35" spans="1:6" x14ac:dyDescent="0.35">
      <c r="A35" s="26">
        <v>45078</v>
      </c>
      <c r="B35" s="27" t="s">
        <v>2</v>
      </c>
      <c r="C35" s="27">
        <v>105</v>
      </c>
      <c r="D35" s="28">
        <v>160</v>
      </c>
      <c r="F35" s="6"/>
    </row>
    <row r="36" spans="1:6" x14ac:dyDescent="0.35">
      <c r="A36" s="26">
        <v>45108</v>
      </c>
      <c r="B36" s="27" t="s">
        <v>1</v>
      </c>
      <c r="C36" s="27">
        <v>97</v>
      </c>
      <c r="D36" s="28">
        <v>126</v>
      </c>
      <c r="F36" s="6"/>
    </row>
    <row r="37" spans="1:6" x14ac:dyDescent="0.35">
      <c r="A37" s="26">
        <v>45139</v>
      </c>
      <c r="B37" s="27" t="s">
        <v>4</v>
      </c>
      <c r="C37" s="27">
        <v>99</v>
      </c>
      <c r="D37" s="28">
        <v>133</v>
      </c>
      <c r="F37" s="6"/>
    </row>
    <row r="38" spans="1:6" x14ac:dyDescent="0.35">
      <c r="A38" s="26">
        <v>45170</v>
      </c>
      <c r="B38" s="27" t="s">
        <v>3</v>
      </c>
      <c r="C38" s="27">
        <v>94</v>
      </c>
      <c r="D38" s="28">
        <v>162</v>
      </c>
      <c r="F38" s="6"/>
    </row>
    <row r="39" spans="1:6" x14ac:dyDescent="0.35">
      <c r="A39" s="26">
        <v>44927</v>
      </c>
      <c r="B39" s="27" t="s">
        <v>1</v>
      </c>
      <c r="C39" s="27">
        <v>125</v>
      </c>
      <c r="D39" s="28">
        <v>144</v>
      </c>
      <c r="F39" s="6"/>
    </row>
    <row r="40" spans="1:6" x14ac:dyDescent="0.35">
      <c r="A40" s="26">
        <v>44958</v>
      </c>
      <c r="B40" s="27" t="s">
        <v>4</v>
      </c>
      <c r="C40" s="27">
        <v>106</v>
      </c>
      <c r="D40" s="28">
        <v>131</v>
      </c>
      <c r="F40" s="6"/>
    </row>
    <row r="41" spans="1:6" x14ac:dyDescent="0.35">
      <c r="A41" s="26">
        <v>44986</v>
      </c>
      <c r="B41" s="27" t="s">
        <v>1</v>
      </c>
      <c r="C41" s="27">
        <v>83</v>
      </c>
      <c r="D41" s="28">
        <v>163</v>
      </c>
      <c r="F41" s="6"/>
    </row>
    <row r="42" spans="1:6" x14ac:dyDescent="0.35">
      <c r="A42" s="26">
        <v>45017</v>
      </c>
      <c r="B42" s="27" t="s">
        <v>2</v>
      </c>
      <c r="C42" s="27">
        <v>104</v>
      </c>
      <c r="D42" s="28">
        <v>139</v>
      </c>
      <c r="F42" s="6"/>
    </row>
    <row r="43" spans="1:6" x14ac:dyDescent="0.35">
      <c r="A43" s="26">
        <v>45047</v>
      </c>
      <c r="B43" s="27" t="s">
        <v>1</v>
      </c>
      <c r="C43" s="27">
        <v>95</v>
      </c>
      <c r="D43" s="28">
        <v>171</v>
      </c>
      <c r="F43" s="6"/>
    </row>
    <row r="44" spans="1:6" x14ac:dyDescent="0.35">
      <c r="A44" s="26">
        <v>45078</v>
      </c>
      <c r="B44" s="27" t="s">
        <v>4</v>
      </c>
      <c r="C44" s="27">
        <v>92</v>
      </c>
      <c r="D44" s="28">
        <v>153</v>
      </c>
      <c r="F44" s="6"/>
    </row>
    <row r="45" spans="1:6" x14ac:dyDescent="0.35">
      <c r="A45" s="26">
        <v>45108</v>
      </c>
      <c r="B45" s="27" t="s">
        <v>3</v>
      </c>
      <c r="C45" s="27">
        <v>105</v>
      </c>
      <c r="D45" s="28">
        <v>143</v>
      </c>
      <c r="F45" s="6"/>
    </row>
    <row r="46" spans="1:6" x14ac:dyDescent="0.35">
      <c r="A46" s="26">
        <v>45139</v>
      </c>
      <c r="B46" s="27" t="s">
        <v>2</v>
      </c>
      <c r="C46" s="27">
        <v>95</v>
      </c>
      <c r="D46" s="28">
        <v>156</v>
      </c>
      <c r="F46" s="6"/>
    </row>
    <row r="47" spans="1:6" x14ac:dyDescent="0.35">
      <c r="A47" s="26">
        <v>45170</v>
      </c>
      <c r="B47" s="27" t="s">
        <v>1</v>
      </c>
      <c r="C47" s="27">
        <v>103</v>
      </c>
      <c r="D47" s="28">
        <v>165</v>
      </c>
      <c r="F47" s="6"/>
    </row>
    <row r="48" spans="1:6" x14ac:dyDescent="0.35">
      <c r="A48" s="26">
        <v>45200</v>
      </c>
      <c r="B48" s="27" t="s">
        <v>4</v>
      </c>
      <c r="C48" s="27">
        <v>112</v>
      </c>
      <c r="D48" s="28">
        <v>171</v>
      </c>
      <c r="F48" s="6"/>
    </row>
    <row r="49" spans="1:6" x14ac:dyDescent="0.35">
      <c r="A49" s="26">
        <v>45231</v>
      </c>
      <c r="B49" s="27" t="s">
        <v>3</v>
      </c>
      <c r="C49" s="27">
        <v>124</v>
      </c>
      <c r="D49" s="28">
        <v>149</v>
      </c>
      <c r="F49" s="6"/>
    </row>
    <row r="50" spans="1:6" x14ac:dyDescent="0.35">
      <c r="A50" s="26">
        <v>45261</v>
      </c>
      <c r="B50" s="27" t="s">
        <v>2</v>
      </c>
      <c r="C50" s="27">
        <v>87</v>
      </c>
      <c r="D50" s="28">
        <v>156</v>
      </c>
      <c r="F50" s="6"/>
    </row>
    <row r="51" spans="1:6" x14ac:dyDescent="0.35">
      <c r="A51" s="26">
        <v>45292</v>
      </c>
      <c r="B51" s="27" t="s">
        <v>1</v>
      </c>
      <c r="C51" s="27">
        <v>84</v>
      </c>
      <c r="D51" s="28">
        <v>129</v>
      </c>
      <c r="F51" s="6"/>
    </row>
    <row r="52" spans="1:6" x14ac:dyDescent="0.35">
      <c r="A52" s="26">
        <v>45323</v>
      </c>
      <c r="B52" s="27" t="s">
        <v>4</v>
      </c>
      <c r="C52" s="27">
        <v>77</v>
      </c>
      <c r="D52" s="28">
        <v>129</v>
      </c>
      <c r="F52" s="6"/>
    </row>
    <row r="53" spans="1:6" x14ac:dyDescent="0.35">
      <c r="A53" s="26">
        <v>45352</v>
      </c>
      <c r="B53" s="27" t="s">
        <v>3</v>
      </c>
      <c r="C53" s="27">
        <v>120</v>
      </c>
      <c r="D53" s="28">
        <v>148</v>
      </c>
      <c r="F53" s="6"/>
    </row>
    <row r="54" spans="1:6" x14ac:dyDescent="0.35">
      <c r="A54" s="26">
        <v>45383</v>
      </c>
      <c r="B54" s="27" t="s">
        <v>2</v>
      </c>
      <c r="C54" s="27">
        <v>124</v>
      </c>
      <c r="D54" s="28">
        <v>127</v>
      </c>
      <c r="F54" s="6"/>
    </row>
    <row r="55" spans="1:6" x14ac:dyDescent="0.35">
      <c r="A55" s="26">
        <v>45413</v>
      </c>
      <c r="B55" s="27" t="s">
        <v>1</v>
      </c>
      <c r="C55" s="27">
        <v>123</v>
      </c>
      <c r="D55" s="28">
        <v>163</v>
      </c>
      <c r="F55" s="6"/>
    </row>
    <row r="56" spans="1:6" x14ac:dyDescent="0.35">
      <c r="A56" s="26">
        <v>45444</v>
      </c>
      <c r="B56" s="27" t="s">
        <v>4</v>
      </c>
      <c r="C56" s="27">
        <v>95</v>
      </c>
      <c r="D56" s="28">
        <v>162</v>
      </c>
      <c r="F56" s="6"/>
    </row>
    <row r="57" spans="1:6" x14ac:dyDescent="0.35">
      <c r="A57" s="26">
        <v>45474</v>
      </c>
      <c r="B57" s="27" t="s">
        <v>3</v>
      </c>
      <c r="C57" s="27">
        <v>112</v>
      </c>
      <c r="D57" s="28">
        <v>133</v>
      </c>
      <c r="F57" s="6"/>
    </row>
    <row r="58" spans="1:6" x14ac:dyDescent="0.35">
      <c r="A58" s="26">
        <v>45505</v>
      </c>
      <c r="B58" s="27" t="s">
        <v>2</v>
      </c>
      <c r="C58" s="27">
        <v>80</v>
      </c>
      <c r="D58" s="28">
        <v>175</v>
      </c>
      <c r="F58" s="6"/>
    </row>
    <row r="59" spans="1:6" x14ac:dyDescent="0.35">
      <c r="A59" s="26">
        <v>45536</v>
      </c>
      <c r="B59" s="27" t="s">
        <v>1</v>
      </c>
      <c r="C59" s="27">
        <v>121</v>
      </c>
      <c r="D59" s="28">
        <v>165</v>
      </c>
      <c r="F59" s="6"/>
    </row>
    <row r="60" spans="1:6" x14ac:dyDescent="0.35">
      <c r="A60" s="26">
        <v>45566</v>
      </c>
      <c r="B60" s="27" t="s">
        <v>4</v>
      </c>
      <c r="C60" s="27">
        <v>122</v>
      </c>
      <c r="D60" s="28">
        <v>175</v>
      </c>
      <c r="F60" s="6"/>
    </row>
    <row r="61" spans="1:6" x14ac:dyDescent="0.35">
      <c r="A61" s="26">
        <v>45597</v>
      </c>
      <c r="B61" s="27" t="s">
        <v>3</v>
      </c>
      <c r="C61" s="27">
        <v>83</v>
      </c>
      <c r="D61" s="28">
        <v>152</v>
      </c>
      <c r="F61" s="6"/>
    </row>
    <row r="62" spans="1:6" x14ac:dyDescent="0.35">
      <c r="A62" s="26">
        <v>45627</v>
      </c>
      <c r="B62" s="27" t="s">
        <v>2</v>
      </c>
      <c r="C62" s="27">
        <v>107</v>
      </c>
      <c r="D62" s="28">
        <v>156</v>
      </c>
      <c r="F62" s="6"/>
    </row>
    <row r="63" spans="1:6" x14ac:dyDescent="0.35">
      <c r="A63" s="26">
        <v>45658</v>
      </c>
      <c r="B63" s="27" t="s">
        <v>1</v>
      </c>
      <c r="C63" s="27">
        <v>109</v>
      </c>
      <c r="D63" s="28">
        <v>158</v>
      </c>
      <c r="F63" s="6"/>
    </row>
    <row r="64" spans="1:6" x14ac:dyDescent="0.35">
      <c r="A64" s="26">
        <v>45689</v>
      </c>
      <c r="B64" s="27" t="s">
        <v>4</v>
      </c>
      <c r="C64" s="27">
        <v>86</v>
      </c>
      <c r="D64" s="28">
        <v>153</v>
      </c>
      <c r="F64" s="6"/>
    </row>
    <row r="65" spans="1:6" x14ac:dyDescent="0.35">
      <c r="A65" s="26">
        <v>45717</v>
      </c>
      <c r="B65" s="27" t="s">
        <v>3</v>
      </c>
      <c r="C65" s="27">
        <v>113</v>
      </c>
      <c r="D65" s="28">
        <v>145</v>
      </c>
      <c r="F65" s="6"/>
    </row>
    <row r="66" spans="1:6" x14ac:dyDescent="0.35">
      <c r="A66" s="26">
        <v>45748</v>
      </c>
      <c r="B66" s="27" t="s">
        <v>2</v>
      </c>
      <c r="C66" s="27">
        <v>125</v>
      </c>
      <c r="D66" s="28">
        <v>164</v>
      </c>
      <c r="F66" s="6"/>
    </row>
    <row r="67" spans="1:6" x14ac:dyDescent="0.35">
      <c r="A67" s="26">
        <v>45778</v>
      </c>
      <c r="B67" s="27" t="s">
        <v>1</v>
      </c>
      <c r="C67" s="27">
        <v>114</v>
      </c>
      <c r="D67" s="28">
        <v>154</v>
      </c>
      <c r="F67" s="6"/>
    </row>
    <row r="68" spans="1:6" x14ac:dyDescent="0.35">
      <c r="A68" s="26">
        <v>45809</v>
      </c>
      <c r="B68" s="27" t="s">
        <v>4</v>
      </c>
      <c r="C68" s="27">
        <v>111</v>
      </c>
      <c r="D68" s="28">
        <v>128</v>
      </c>
      <c r="F68" s="6"/>
    </row>
    <row r="69" spans="1:6" x14ac:dyDescent="0.35">
      <c r="A69" s="26">
        <v>45839</v>
      </c>
      <c r="B69" s="27" t="s">
        <v>3</v>
      </c>
      <c r="C69" s="27">
        <v>96</v>
      </c>
      <c r="D69" s="28">
        <v>168</v>
      </c>
      <c r="F69" s="6"/>
    </row>
    <row r="70" spans="1:6" x14ac:dyDescent="0.35">
      <c r="A70" s="26">
        <v>45870</v>
      </c>
      <c r="B70" s="27" t="s">
        <v>2</v>
      </c>
      <c r="C70" s="27">
        <v>86</v>
      </c>
      <c r="D70" s="28">
        <v>175</v>
      </c>
      <c r="F70" s="6"/>
    </row>
    <row r="71" spans="1:6" x14ac:dyDescent="0.35">
      <c r="A71" s="26">
        <v>45901</v>
      </c>
      <c r="B71" s="27" t="s">
        <v>1</v>
      </c>
      <c r="C71" s="27">
        <v>120</v>
      </c>
      <c r="D71" s="28">
        <v>153</v>
      </c>
      <c r="F71" s="6"/>
    </row>
    <row r="72" spans="1:6" x14ac:dyDescent="0.35">
      <c r="A72" s="26">
        <v>45931</v>
      </c>
      <c r="B72" s="27" t="s">
        <v>4</v>
      </c>
      <c r="C72" s="27">
        <v>75</v>
      </c>
      <c r="D72" s="28">
        <v>133</v>
      </c>
      <c r="F72" s="6"/>
    </row>
    <row r="73" spans="1:6" x14ac:dyDescent="0.35">
      <c r="A73" s="26">
        <v>45962</v>
      </c>
      <c r="B73" s="27" t="s">
        <v>3</v>
      </c>
      <c r="C73" s="27">
        <v>118</v>
      </c>
      <c r="D73" s="28">
        <v>143</v>
      </c>
      <c r="F73" s="6"/>
    </row>
    <row r="74" spans="1:6" x14ac:dyDescent="0.35">
      <c r="A74" s="29">
        <v>45992</v>
      </c>
      <c r="B74" s="30" t="s">
        <v>2</v>
      </c>
      <c r="C74" s="30">
        <v>78</v>
      </c>
      <c r="D74" s="31">
        <v>174</v>
      </c>
      <c r="F74" s="6"/>
    </row>
  </sheetData>
  <sortState xmlns:xlrd2="http://schemas.microsoft.com/office/spreadsheetml/2017/richdata2" ref="G6:J27">
    <sortCondition ref="H6:H27"/>
    <sortCondition ref="G6:G27"/>
  </sortState>
  <mergeCells count="1">
    <mergeCell ref="A1:D1"/>
  </mergeCells>
  <conditionalFormatting sqref="I6:I27">
    <cfRule type="cellIs" dxfId="4" priority="3" operator="greaterThan">
      <formula>100</formula>
    </cfRule>
    <cfRule type="cellIs" dxfId="3" priority="2" operator="greaterThan">
      <formula>100</formula>
    </cfRule>
  </conditionalFormatting>
  <conditionalFormatting sqref="I6:I26">
    <cfRule type="cellIs" dxfId="0" priority="1" operator="greaterThan">
      <formula>100</formula>
    </cfRule>
  </conditionalFormatting>
  <pageMargins left="0.75" right="0.75" top="1" bottom="1" header="0.5" footer="0.5"/>
  <pageSetup orientation="portrait" r:id="rId1"/>
  <headerFooter alignWithMargins="0"/>
  <colBreaks count="1" manualBreakCount="1">
    <brk id="7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3" sqref="B3"/>
    </sheetView>
  </sheetViews>
  <sheetFormatPr defaultColWidth="9.09765625" defaultRowHeight="13" x14ac:dyDescent="0.3"/>
  <cols>
    <col min="1" max="6" width="16.296875" style="6" customWidth="1"/>
    <col min="7" max="16384" width="9.09765625" style="6"/>
  </cols>
  <sheetData>
    <row r="1" spans="1:5" ht="21" x14ac:dyDescent="0.5">
      <c r="A1" s="5" t="s">
        <v>10</v>
      </c>
      <c r="B1" s="5"/>
    </row>
    <row r="2" spans="1:5" ht="28.5" customHeight="1" x14ac:dyDescent="0.35">
      <c r="A2" s="7" t="s">
        <v>13</v>
      </c>
      <c r="B2" s="7" t="s">
        <v>13</v>
      </c>
      <c r="C2" s="8" t="s">
        <v>14</v>
      </c>
      <c r="D2" s="9" t="s">
        <v>0</v>
      </c>
      <c r="E2" s="9" t="s">
        <v>12</v>
      </c>
    </row>
    <row r="3" spans="1:5" x14ac:dyDescent="0.3">
      <c r="A3" s="6" t="s">
        <v>18</v>
      </c>
      <c r="B3" s="6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D40"/>
  <sheetViews>
    <sheetView workbookViewId="0">
      <selection activeCell="I8" sqref="I8"/>
    </sheetView>
  </sheetViews>
  <sheetFormatPr defaultColWidth="9.09765625" defaultRowHeight="14.5" outlineLevelRow="2" x14ac:dyDescent="0.35"/>
  <cols>
    <col min="1" max="2" width="13.69921875" style="4" customWidth="1"/>
    <col min="3" max="3" width="13.69921875" style="37" customWidth="1"/>
    <col min="4" max="4" width="13.69921875" style="46" customWidth="1"/>
    <col min="5" max="16384" width="9.09765625" style="4"/>
  </cols>
  <sheetData>
    <row r="1" spans="1:4" ht="26" x14ac:dyDescent="0.6">
      <c r="A1" s="2" t="s">
        <v>5</v>
      </c>
      <c r="B1" s="3"/>
      <c r="C1" s="40"/>
      <c r="D1" s="45"/>
    </row>
    <row r="2" spans="1:4" ht="26" x14ac:dyDescent="0.6">
      <c r="A2" s="2" t="s">
        <v>15</v>
      </c>
      <c r="B2" s="3"/>
      <c r="C2" s="40"/>
      <c r="D2" s="45"/>
    </row>
    <row r="4" spans="1:4" s="39" customFormat="1" x14ac:dyDescent="0.35">
      <c r="A4" s="38" t="s">
        <v>6</v>
      </c>
      <c r="B4" s="38" t="s">
        <v>7</v>
      </c>
      <c r="C4" s="41" t="s">
        <v>8</v>
      </c>
      <c r="D4" s="47" t="s">
        <v>9</v>
      </c>
    </row>
    <row r="5" spans="1:4" hidden="1" outlineLevel="2" x14ac:dyDescent="0.35">
      <c r="A5" s="1" t="s">
        <v>20</v>
      </c>
      <c r="B5" s="1" t="s">
        <v>21</v>
      </c>
      <c r="C5" s="42">
        <v>45658</v>
      </c>
      <c r="D5" s="44">
        <v>450</v>
      </c>
    </row>
    <row r="6" spans="1:4" hidden="1" outlineLevel="2" x14ac:dyDescent="0.35">
      <c r="A6" s="1" t="s">
        <v>20</v>
      </c>
      <c r="B6" s="1" t="s">
        <v>21</v>
      </c>
      <c r="C6" s="42">
        <v>45717</v>
      </c>
      <c r="D6" s="44">
        <v>750</v>
      </c>
    </row>
    <row r="7" spans="1:4" hidden="1" outlineLevel="2" x14ac:dyDescent="0.35">
      <c r="A7" s="1" t="s">
        <v>20</v>
      </c>
      <c r="B7" s="1" t="s">
        <v>21</v>
      </c>
      <c r="C7" s="42">
        <v>45778</v>
      </c>
      <c r="D7" s="44">
        <v>875</v>
      </c>
    </row>
    <row r="8" spans="1:4" hidden="1" outlineLevel="2" x14ac:dyDescent="0.35">
      <c r="A8" s="1" t="s">
        <v>20</v>
      </c>
      <c r="B8" s="1" t="s">
        <v>30</v>
      </c>
      <c r="C8" s="42">
        <v>45839</v>
      </c>
      <c r="D8" s="44">
        <v>375</v>
      </c>
    </row>
    <row r="9" spans="1:4" hidden="1" outlineLevel="2" x14ac:dyDescent="0.35">
      <c r="A9" s="1" t="s">
        <v>20</v>
      </c>
      <c r="B9" s="1" t="s">
        <v>30</v>
      </c>
      <c r="C9" s="42">
        <v>45901</v>
      </c>
      <c r="D9" s="44">
        <v>425</v>
      </c>
    </row>
    <row r="10" spans="1:4" hidden="1" outlineLevel="2" x14ac:dyDescent="0.35">
      <c r="A10" s="1" t="s">
        <v>20</v>
      </c>
      <c r="B10" s="1" t="s">
        <v>30</v>
      </c>
      <c r="C10" s="42">
        <v>45962</v>
      </c>
      <c r="D10" s="44">
        <v>345</v>
      </c>
    </row>
    <row r="11" spans="1:4" outlineLevel="1" collapsed="1" x14ac:dyDescent="0.35">
      <c r="A11" s="43" t="s">
        <v>31</v>
      </c>
      <c r="B11" s="1"/>
      <c r="C11" s="42"/>
      <c r="D11" s="44">
        <f>SUBTOTAL(1,D5:D10)</f>
        <v>536.66666666666663</v>
      </c>
    </row>
    <row r="12" spans="1:4" hidden="1" outlineLevel="2" x14ac:dyDescent="0.35">
      <c r="A12" s="1" t="s">
        <v>24</v>
      </c>
      <c r="B12" s="1" t="s">
        <v>25</v>
      </c>
      <c r="C12" s="42">
        <v>45658</v>
      </c>
      <c r="D12" s="44">
        <v>635</v>
      </c>
    </row>
    <row r="13" spans="1:4" hidden="1" outlineLevel="2" x14ac:dyDescent="0.35">
      <c r="A13" s="1" t="s">
        <v>24</v>
      </c>
      <c r="B13" s="1" t="s">
        <v>25</v>
      </c>
      <c r="C13" s="42">
        <v>45717</v>
      </c>
      <c r="D13" s="44">
        <v>575</v>
      </c>
    </row>
    <row r="14" spans="1:4" hidden="1" outlineLevel="2" x14ac:dyDescent="0.35">
      <c r="A14" s="1" t="s">
        <v>24</v>
      </c>
      <c r="B14" s="1" t="s">
        <v>25</v>
      </c>
      <c r="C14" s="42">
        <v>45778</v>
      </c>
      <c r="D14" s="44">
        <v>655</v>
      </c>
    </row>
    <row r="15" spans="1:4" hidden="1" outlineLevel="2" x14ac:dyDescent="0.35">
      <c r="A15" s="1" t="s">
        <v>24</v>
      </c>
      <c r="B15" s="1" t="s">
        <v>25</v>
      </c>
      <c r="C15" s="42">
        <v>45839</v>
      </c>
      <c r="D15" s="44">
        <v>655</v>
      </c>
    </row>
    <row r="16" spans="1:4" hidden="1" outlineLevel="2" x14ac:dyDescent="0.35">
      <c r="A16" s="1" t="s">
        <v>24</v>
      </c>
      <c r="B16" s="1" t="s">
        <v>25</v>
      </c>
      <c r="C16" s="42">
        <v>45901</v>
      </c>
      <c r="D16" s="44">
        <v>655</v>
      </c>
    </row>
    <row r="17" spans="1:4" hidden="1" outlineLevel="2" x14ac:dyDescent="0.35">
      <c r="A17" s="1" t="s">
        <v>24</v>
      </c>
      <c r="B17" s="1" t="s">
        <v>25</v>
      </c>
      <c r="C17" s="42">
        <v>45962</v>
      </c>
      <c r="D17" s="44">
        <v>655</v>
      </c>
    </row>
    <row r="18" spans="1:4" outlineLevel="1" collapsed="1" x14ac:dyDescent="0.35">
      <c r="A18" s="43" t="s">
        <v>32</v>
      </c>
      <c r="B18" s="1"/>
      <c r="C18" s="42"/>
      <c r="D18" s="44">
        <f>SUBTOTAL(1,D12:D17)</f>
        <v>638.33333333333337</v>
      </c>
    </row>
    <row r="19" spans="1:4" hidden="1" outlineLevel="2" x14ac:dyDescent="0.35">
      <c r="A19" s="1" t="s">
        <v>22</v>
      </c>
      <c r="B19" s="1" t="s">
        <v>23</v>
      </c>
      <c r="C19" s="42">
        <v>45658</v>
      </c>
      <c r="D19" s="44">
        <v>555</v>
      </c>
    </row>
    <row r="20" spans="1:4" hidden="1" outlineLevel="2" x14ac:dyDescent="0.35">
      <c r="A20" s="1" t="s">
        <v>22</v>
      </c>
      <c r="B20" s="1" t="s">
        <v>23</v>
      </c>
      <c r="C20" s="42">
        <v>45717</v>
      </c>
      <c r="D20" s="44">
        <v>635</v>
      </c>
    </row>
    <row r="21" spans="1:4" hidden="1" outlineLevel="2" x14ac:dyDescent="0.35">
      <c r="A21" s="1" t="s">
        <v>22</v>
      </c>
      <c r="B21" s="1" t="s">
        <v>23</v>
      </c>
      <c r="C21" s="42">
        <v>45778</v>
      </c>
      <c r="D21" s="44">
        <v>765</v>
      </c>
    </row>
    <row r="22" spans="1:4" hidden="1" outlineLevel="2" x14ac:dyDescent="0.35">
      <c r="A22" s="1" t="s">
        <v>22</v>
      </c>
      <c r="B22" s="1" t="s">
        <v>23</v>
      </c>
      <c r="C22" s="42">
        <v>45839</v>
      </c>
      <c r="D22" s="44">
        <v>765</v>
      </c>
    </row>
    <row r="23" spans="1:4" hidden="1" outlineLevel="2" x14ac:dyDescent="0.35">
      <c r="A23" s="1" t="s">
        <v>22</v>
      </c>
      <c r="B23" s="1" t="s">
        <v>23</v>
      </c>
      <c r="C23" s="42">
        <v>45901</v>
      </c>
      <c r="D23" s="44">
        <v>765</v>
      </c>
    </row>
    <row r="24" spans="1:4" hidden="1" outlineLevel="2" x14ac:dyDescent="0.35">
      <c r="A24" s="1" t="s">
        <v>22</v>
      </c>
      <c r="B24" s="1" t="s">
        <v>23</v>
      </c>
      <c r="C24" s="42">
        <v>45962</v>
      </c>
      <c r="D24" s="44">
        <v>765</v>
      </c>
    </row>
    <row r="25" spans="1:4" outlineLevel="1" collapsed="1" x14ac:dyDescent="0.35">
      <c r="A25" s="43" t="s">
        <v>33</v>
      </c>
      <c r="B25" s="1"/>
      <c r="C25" s="42"/>
      <c r="D25" s="44">
        <f>SUBTOTAL(1,D19:D24)</f>
        <v>708.33333333333337</v>
      </c>
    </row>
    <row r="26" spans="1:4" hidden="1" outlineLevel="2" x14ac:dyDescent="0.35">
      <c r="A26" s="1" t="s">
        <v>26</v>
      </c>
      <c r="B26" s="1" t="s">
        <v>27</v>
      </c>
      <c r="C26" s="42">
        <v>45658</v>
      </c>
      <c r="D26" s="44">
        <v>845</v>
      </c>
    </row>
    <row r="27" spans="1:4" hidden="1" outlineLevel="2" x14ac:dyDescent="0.35">
      <c r="A27" s="1" t="s">
        <v>26</v>
      </c>
      <c r="B27" s="1" t="s">
        <v>27</v>
      </c>
      <c r="C27" s="42">
        <v>45717</v>
      </c>
      <c r="D27" s="44">
        <v>435</v>
      </c>
    </row>
    <row r="28" spans="1:4" hidden="1" outlineLevel="2" x14ac:dyDescent="0.35">
      <c r="A28" s="1" t="s">
        <v>26</v>
      </c>
      <c r="B28" s="1" t="s">
        <v>27</v>
      </c>
      <c r="C28" s="42">
        <v>45778</v>
      </c>
      <c r="D28" s="44">
        <v>535</v>
      </c>
    </row>
    <row r="29" spans="1:4" hidden="1" outlineLevel="2" x14ac:dyDescent="0.35">
      <c r="A29" s="1" t="s">
        <v>26</v>
      </c>
      <c r="B29" s="1" t="s">
        <v>27</v>
      </c>
      <c r="C29" s="42">
        <v>45839</v>
      </c>
      <c r="D29" s="44">
        <v>535</v>
      </c>
    </row>
    <row r="30" spans="1:4" hidden="1" outlineLevel="2" x14ac:dyDescent="0.35">
      <c r="A30" s="1" t="s">
        <v>26</v>
      </c>
      <c r="B30" s="1" t="s">
        <v>27</v>
      </c>
      <c r="C30" s="42">
        <v>45901</v>
      </c>
      <c r="D30" s="44">
        <v>535</v>
      </c>
    </row>
    <row r="31" spans="1:4" hidden="1" outlineLevel="2" x14ac:dyDescent="0.35">
      <c r="A31" s="1" t="s">
        <v>26</v>
      </c>
      <c r="B31" s="1" t="s">
        <v>27</v>
      </c>
      <c r="C31" s="42">
        <v>45962</v>
      </c>
      <c r="D31" s="44">
        <v>535</v>
      </c>
    </row>
    <row r="32" spans="1:4" outlineLevel="1" collapsed="1" x14ac:dyDescent="0.35">
      <c r="A32" s="43" t="s">
        <v>34</v>
      </c>
      <c r="B32" s="1"/>
      <c r="C32" s="42"/>
      <c r="D32" s="44">
        <f>SUBTOTAL(1,D26:D31)</f>
        <v>570</v>
      </c>
    </row>
    <row r="33" spans="1:4" hidden="1" outlineLevel="2" x14ac:dyDescent="0.35">
      <c r="A33" s="1" t="s">
        <v>28</v>
      </c>
      <c r="B33" s="1" t="s">
        <v>29</v>
      </c>
      <c r="C33" s="42">
        <v>45658</v>
      </c>
      <c r="D33" s="44">
        <v>925</v>
      </c>
    </row>
    <row r="34" spans="1:4" hidden="1" outlineLevel="2" x14ac:dyDescent="0.35">
      <c r="A34" s="1" t="s">
        <v>28</v>
      </c>
      <c r="B34" s="1" t="s">
        <v>29</v>
      </c>
      <c r="C34" s="42">
        <v>45717</v>
      </c>
      <c r="D34" s="44">
        <v>650</v>
      </c>
    </row>
    <row r="35" spans="1:4" hidden="1" outlineLevel="2" x14ac:dyDescent="0.35">
      <c r="A35" s="1" t="s">
        <v>28</v>
      </c>
      <c r="B35" s="1" t="s">
        <v>29</v>
      </c>
      <c r="C35" s="42">
        <v>45778</v>
      </c>
      <c r="D35" s="44">
        <v>485</v>
      </c>
    </row>
    <row r="36" spans="1:4" hidden="1" outlineLevel="2" x14ac:dyDescent="0.35">
      <c r="A36" s="1" t="s">
        <v>28</v>
      </c>
      <c r="B36" s="1" t="s">
        <v>29</v>
      </c>
      <c r="C36" s="42">
        <v>45839</v>
      </c>
      <c r="D36" s="44">
        <v>485</v>
      </c>
    </row>
    <row r="37" spans="1:4" hidden="1" outlineLevel="2" x14ac:dyDescent="0.35">
      <c r="A37" s="1" t="s">
        <v>28</v>
      </c>
      <c r="B37" s="1" t="s">
        <v>29</v>
      </c>
      <c r="C37" s="42">
        <v>45901</v>
      </c>
      <c r="D37" s="44">
        <v>485</v>
      </c>
    </row>
    <row r="38" spans="1:4" hidden="1" outlineLevel="2" x14ac:dyDescent="0.35">
      <c r="A38" s="1" t="s">
        <v>28</v>
      </c>
      <c r="B38" s="1" t="s">
        <v>29</v>
      </c>
      <c r="C38" s="42">
        <v>45962</v>
      </c>
      <c r="D38" s="44">
        <v>485</v>
      </c>
    </row>
    <row r="39" spans="1:4" outlineLevel="1" collapsed="1" x14ac:dyDescent="0.35">
      <c r="A39" s="43" t="s">
        <v>35</v>
      </c>
      <c r="B39" s="1"/>
      <c r="C39" s="42"/>
      <c r="D39" s="44">
        <f>SUBTOTAL(1,D33:D38)</f>
        <v>585.83333333333337</v>
      </c>
    </row>
    <row r="40" spans="1:4" x14ac:dyDescent="0.35">
      <c r="A40" s="43" t="s">
        <v>36</v>
      </c>
      <c r="B40" s="1"/>
      <c r="C40" s="42"/>
      <c r="D40" s="44">
        <f>SUBTOTAL(1,D5:D38)</f>
        <v>607.83333333333337</v>
      </c>
    </row>
  </sheetData>
  <sortState xmlns:xlrd2="http://schemas.microsoft.com/office/spreadsheetml/2017/richdata2" ref="A5:D38">
    <sortCondition ref="A5:A38"/>
  </sortState>
  <phoneticPr fontId="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9F11-0B25-451C-8BC0-128556A11CA6}">
  <dimension ref="A2:C7"/>
  <sheetViews>
    <sheetView tabSelected="1" workbookViewId="0">
      <selection activeCell="C4" sqref="C4"/>
    </sheetView>
  </sheetViews>
  <sheetFormatPr defaultRowHeight="13" x14ac:dyDescent="0.3"/>
  <cols>
    <col min="1" max="1" width="15" bestFit="1" customWidth="1"/>
    <col min="2" max="2" width="11.5" bestFit="1" customWidth="1"/>
    <col min="3" max="3" width="20.5" bestFit="1" customWidth="1"/>
  </cols>
  <sheetData>
    <row r="2" spans="1:3" x14ac:dyDescent="0.3">
      <c r="A2" s="48" t="s">
        <v>14</v>
      </c>
      <c r="B2" t="s">
        <v>38</v>
      </c>
      <c r="C2" t="s">
        <v>39</v>
      </c>
    </row>
    <row r="3" spans="1:3" x14ac:dyDescent="0.3">
      <c r="A3" t="s">
        <v>3</v>
      </c>
      <c r="B3" s="49">
        <v>1619</v>
      </c>
      <c r="C3" s="49">
        <v>1942.8</v>
      </c>
    </row>
    <row r="4" spans="1:3" x14ac:dyDescent="0.3">
      <c r="A4" t="s">
        <v>2</v>
      </c>
      <c r="B4" s="49">
        <v>1670</v>
      </c>
      <c r="C4" s="49">
        <v>2004</v>
      </c>
    </row>
    <row r="5" spans="1:3" x14ac:dyDescent="0.3">
      <c r="A5" t="s">
        <v>1</v>
      </c>
      <c r="B5" s="49">
        <v>1901</v>
      </c>
      <c r="C5" s="49">
        <v>2281.1999999999998</v>
      </c>
    </row>
    <row r="6" spans="1:3" x14ac:dyDescent="0.3">
      <c r="A6" t="s">
        <v>4</v>
      </c>
      <c r="B6" s="49">
        <v>1767</v>
      </c>
      <c r="C6" s="49">
        <v>2120.4</v>
      </c>
    </row>
    <row r="7" spans="1:3" x14ac:dyDescent="0.3">
      <c r="A7" t="s">
        <v>37</v>
      </c>
      <c r="B7" s="49">
        <v>6957</v>
      </c>
      <c r="C7" s="49">
        <v>8348.4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enna xmlns="http://customxml.org">
  <kers>VCM0NgrEuGkDc5Q8mKcbeIxM7WatKrPdohmIeOKAR9I=</kers>
  <massa>9/21/2026 9:37:50 AM</massa>
  <hamilton>true</hamilton>
</senn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2009-11-07T17:14:03Z</outs:dateTime>
      <outs:isPinned>true</outs:isPinned>
    </outs:relatedDate>
    <outs:relatedDate>
      <outs:type>2</outs:type>
      <outs:displayName>Created</outs:displayName>
      <outs:dateTime>2006-01-31T15:24:23Z</outs:dateTime>
      <outs:isPinned>true</outs:isPinned>
    </outs:relatedDate>
    <outs:relatedDate>
      <outs:type>4</outs:type>
      <outs:displayName>Last Printed</outs:displayName>
      <outs:dateTime>2009-11-07T17:13:27Z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Kathleen Stewart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Kathleen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6.xml>��
</file>

<file path=customXml/itemProps1.xml><?xml version="1.0" encoding="utf-8"?>
<ds:datastoreItem xmlns:ds="http://schemas.openxmlformats.org/officeDocument/2006/customXml" ds:itemID="{87FCD2AB-121B-4B0E-B3E0-0AF4A1A80B29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2.xml><?xml version="1.0" encoding="utf-8"?>
<ds:datastoreItem xmlns:ds="http://schemas.openxmlformats.org/officeDocument/2006/customXml" ds:itemID="{205BDF24-179A-489B-B937-375B1F95E3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1CDF4E-691A-425F-AA18-67B4D41E42A2}">
  <ds:schemaRefs>
    <ds:schemaRef ds:uri="http://customxml.org"/>
  </ds:schemaRefs>
</ds:datastoreItem>
</file>

<file path=customXml/itemProps4.xml><?xml version="1.0" encoding="utf-8"?>
<ds:datastoreItem xmlns:ds="http://schemas.openxmlformats.org/officeDocument/2006/customXml" ds:itemID="{5DD5DEBA-2E1D-4E5C-90E7-9BB8BF790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99DE0CD-727B-4387-8AEC-240F27D58DE5}">
  <ds:schemaRefs>
    <ds:schemaRef ds:uri="http://schemas.microsoft.com/office/2009/outspace/metadata"/>
  </ds:schemaRefs>
</ds:datastoreItem>
</file>

<file path=customXml/itemProps6.xml><?xml version="1.0" encoding="utf-8"?>
<ds:datastoreItem xmlns:ds="http://schemas.openxmlformats.org/officeDocument/2006/customXml" ds:itemID="{54A046C3-7229-4169-930E-ECB9AFB4C0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Patients&amp;Equip</vt:lpstr>
      <vt:lpstr>Adv Filter</vt:lpstr>
      <vt:lpstr>Criteria</vt:lpstr>
      <vt:lpstr>Expense Info</vt:lpstr>
      <vt:lpstr>PivotData</vt:lpstr>
      <vt:lpstr>'Adv Filter'!Database</vt:lpstr>
      <vt:lpstr>Database</vt:lpstr>
      <vt:lpstr>'Adv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2021-04-22T21:01:14Z</dcterms:created>
  <dcterms:modified xsi:type="dcterms:W3CDTF">2026-09-21T16:01:00Z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[{"Key":"kers","Value":"VCM0NgrEuGkDc5Q8mKcbeIxM7WatKrPdohmIeOKAR9I="},{"Key":"massa","Value":"9/21/2026 9:37:50 AM"},{"Key":"hamilton","Value":"true"}]</vt:lpwstr>
  </property>
</Properties>
</file>