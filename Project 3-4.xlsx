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0" documentId="8_{824C6DF5-B9D2-410A-A4CF-29BD0AF8FD1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reakEven" sheetId="2" r:id="rId1"/>
    <sheet name="Gross Margins" sheetId="1" r:id="rId2"/>
  </sheets>
  <definedNames>
    <definedName name="Administrative" localSheetId="0">#REF!</definedName>
    <definedName name="Administrative">#REF!</definedName>
    <definedName name="Marketing" localSheetId="0">#REF!</definedName>
    <definedName name="Marketing">#REF!</definedName>
    <definedName name="Operations" localSheetId="0">#REF!</definedName>
    <definedName name="Operations">#REF!</definedName>
    <definedName name="Salaries_Wages" localSheetId="0">#REF!</definedName>
    <definedName name="Salaries_Wag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D24" i="2"/>
  <c r="C24" i="2"/>
  <c r="E24" i="2" s="1"/>
  <c r="F23" i="2"/>
  <c r="D23" i="2"/>
  <c r="C23" i="2"/>
  <c r="E23" i="2" s="1"/>
  <c r="F22" i="2"/>
  <c r="G22" i="2" s="1"/>
  <c r="D22" i="2"/>
  <c r="C22" i="2"/>
  <c r="E22" i="2" s="1"/>
  <c r="F21" i="2"/>
  <c r="G21" i="2" s="1"/>
  <c r="E21" i="2"/>
  <c r="D21" i="2"/>
  <c r="C21" i="2"/>
  <c r="F20" i="2"/>
  <c r="D20" i="2"/>
  <c r="E20" i="2" s="1"/>
  <c r="C20" i="2"/>
  <c r="F19" i="2"/>
  <c r="D19" i="2"/>
  <c r="C19" i="2"/>
  <c r="E19" i="2" s="1"/>
  <c r="F18" i="2"/>
  <c r="G18" i="2" s="1"/>
  <c r="D18" i="2"/>
  <c r="C18" i="2"/>
  <c r="E18" i="2" s="1"/>
  <c r="F17" i="2"/>
  <c r="G17" i="2" s="1"/>
  <c r="E17" i="2"/>
  <c r="D17" i="2"/>
  <c r="C17" i="2"/>
  <c r="F16" i="2"/>
  <c r="D16" i="2"/>
  <c r="C16" i="2"/>
  <c r="E16" i="2" s="1"/>
  <c r="B10" i="2"/>
  <c r="F15" i="2"/>
  <c r="D15" i="2"/>
  <c r="C15" i="2"/>
  <c r="B8" i="2"/>
  <c r="B10" i="1"/>
  <c r="C10" i="1"/>
  <c r="D10" i="1"/>
  <c r="E10" i="1"/>
  <c r="F10" i="1"/>
  <c r="G10" i="1"/>
  <c r="H5" i="1"/>
  <c r="H6" i="1"/>
  <c r="H7" i="1"/>
  <c r="H8" i="1"/>
  <c r="H9" i="1"/>
  <c r="G24" i="2" l="1"/>
  <c r="G23" i="2"/>
  <c r="G20" i="2"/>
  <c r="G19" i="2"/>
  <c r="G16" i="2"/>
  <c r="E15" i="2"/>
  <c r="G15" i="2" s="1"/>
  <c r="H10" i="1"/>
</calcChain>
</file>

<file path=xl/sharedStrings.xml><?xml version="1.0" encoding="utf-8"?>
<sst xmlns="http://schemas.openxmlformats.org/spreadsheetml/2006/main" count="30" uniqueCount="30">
  <si>
    <t>Total</t>
  </si>
  <si>
    <t>April</t>
  </si>
  <si>
    <t>May</t>
  </si>
  <si>
    <t>June</t>
  </si>
  <si>
    <t xml:space="preserve">Classic Gardens and Landscapes (CGL) </t>
  </si>
  <si>
    <t>Lawn Maintenance</t>
  </si>
  <si>
    <t xml:space="preserve">Tree &amp; Shrubbery </t>
  </si>
  <si>
    <t>Design Consulting</t>
  </si>
  <si>
    <t>July</t>
  </si>
  <si>
    <t>August</t>
  </si>
  <si>
    <t>September</t>
  </si>
  <si>
    <t>Patio and Furniture</t>
  </si>
  <si>
    <t>Fountains and Irrigation</t>
  </si>
  <si>
    <t>Classic Gardens and Landscapes</t>
  </si>
  <si>
    <t>Break Even Point in Units</t>
  </si>
  <si>
    <t>Sales Price</t>
  </si>
  <si>
    <t>Assigned Variable Cost</t>
  </si>
  <si>
    <t>Per Unit Margin (Profit)</t>
  </si>
  <si>
    <t>Break Even Point</t>
  </si>
  <si>
    <t># Sold</t>
  </si>
  <si>
    <t>Fixed 
Cost</t>
  </si>
  <si>
    <t>Total 
Variable 
Costs</t>
  </si>
  <si>
    <t>Total 
Costs</t>
  </si>
  <si>
    <t>Dollar 
Sales</t>
  </si>
  <si>
    <t>Profit</t>
  </si>
  <si>
    <t>Departments</t>
  </si>
  <si>
    <t>Commemorative Planter</t>
  </si>
  <si>
    <t>Fixed Cost</t>
  </si>
  <si>
    <t>Dollar Margin by Department, Six Months</t>
  </si>
  <si>
    <t>Total Dollar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</si>
</sst>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5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3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6" tint="-0.499984740745262"/>
      <name val="Aptos Display"/>
      <family val="1"/>
      <scheme val="major"/>
    </font>
    <font>
      <b/>
      <sz val="14"/>
      <color theme="6" tint="-0.499984740745262"/>
      <name val="Aptos Display"/>
      <family val="1"/>
      <scheme val="maj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9" fillId="2" borderId="0" applyNumberFormat="0" applyBorder="0" applyAlignment="0" applyProtection="0"/>
    <xf numFmtId="44" fontId="5" fillId="0" borderId="0" applyFont="0" applyFill="0" applyBorder="0" applyAlignment="0" applyProtection="0"/>
    <xf numFmtId="0" fontId="7" fillId="0" borderId="1" applyNumberFormat="0" applyFill="0" applyAlignment="0" applyProtection="0"/>
    <xf numFmtId="0" fontId="5" fillId="0" borderId="0"/>
    <xf numFmtId="0" fontId="3" fillId="0" borderId="0"/>
    <xf numFmtId="0" fontId="2" fillId="0" borderId="0"/>
    <xf numFmtId="0" fontId="6" fillId="0" borderId="0" applyNumberFormat="0" applyFill="0" applyBorder="0" applyAlignment="0" applyProtection="0"/>
    <xf numFmtId="0" fontId="8" fillId="0" borderId="2" applyNumberFormat="0" applyFill="0" applyAlignment="0" applyProtection="0"/>
  </cellStyleXfs>
  <cellXfs count="30">
    <xf numFmtId="0" fontId="0" fillId="0" borderId="0" xfId="0"/>
    <xf numFmtId="0" fontId="4" fillId="0" borderId="0" xfId="6" applyFont="1"/>
    <xf numFmtId="164" fontId="4" fillId="0" borderId="0" xfId="4" applyNumberFormat="1" applyFont="1"/>
    <xf numFmtId="2" fontId="4" fillId="0" borderId="0" xfId="4" applyNumberFormat="1" applyFont="1"/>
    <xf numFmtId="164" fontId="4" fillId="0" borderId="0" xfId="6" applyNumberFormat="1" applyFont="1"/>
    <xf numFmtId="0" fontId="2" fillId="0" borderId="0" xfId="8"/>
    <xf numFmtId="0" fontId="2" fillId="0" borderId="4" xfId="8" applyBorder="1"/>
    <xf numFmtId="165" fontId="2" fillId="0" borderId="5" xfId="8" applyNumberFormat="1" applyBorder="1"/>
    <xf numFmtId="0" fontId="2" fillId="0" borderId="6" xfId="8" applyBorder="1"/>
    <xf numFmtId="165" fontId="2" fillId="0" borderId="7" xfId="8" applyNumberFormat="1" applyBorder="1"/>
    <xf numFmtId="0" fontId="2" fillId="0" borderId="7" xfId="8" applyBorder="1"/>
    <xf numFmtId="0" fontId="2" fillId="0" borderId="8" xfId="8" applyBorder="1"/>
    <xf numFmtId="0" fontId="2" fillId="0" borderId="9" xfId="8" applyBorder="1"/>
    <xf numFmtId="0" fontId="11" fillId="0" borderId="3" xfId="8" applyFont="1" applyBorder="1" applyAlignment="1">
      <alignment horizontal="center"/>
    </xf>
    <xf numFmtId="0" fontId="11" fillId="0" borderId="3" xfId="8" applyFont="1" applyBorder="1" applyAlignment="1">
      <alignment horizontal="center" wrapText="1"/>
    </xf>
    <xf numFmtId="0" fontId="2" fillId="0" borderId="3" xfId="8" applyBorder="1"/>
    <xf numFmtId="165" fontId="2" fillId="0" borderId="3" xfId="8" applyNumberFormat="1" applyBorder="1"/>
    <xf numFmtId="165" fontId="4" fillId="0" borderId="3" xfId="4" applyNumberFormat="1" applyFont="1" applyBorder="1"/>
    <xf numFmtId="165" fontId="11" fillId="0" borderId="3" xfId="10" applyNumberFormat="1" applyFont="1" applyBorder="1"/>
    <xf numFmtId="0" fontId="1" fillId="0" borderId="6" xfId="8" applyFont="1" applyBorder="1"/>
    <xf numFmtId="0" fontId="10" fillId="3" borderId="3" xfId="3" applyFont="1" applyFill="1" applyBorder="1"/>
    <xf numFmtId="0" fontId="10" fillId="3" borderId="3" xfId="3" applyFont="1" applyFill="1" applyBorder="1" applyAlignment="1">
      <alignment horizontal="left" indent="2"/>
    </xf>
    <xf numFmtId="0" fontId="10" fillId="3" borderId="3" xfId="10" applyFont="1" applyFill="1" applyBorder="1" applyAlignment="1">
      <alignment horizontal="right"/>
    </xf>
    <xf numFmtId="0" fontId="10" fillId="3" borderId="3" xfId="3" applyFont="1" applyFill="1" applyBorder="1" applyAlignment="1">
      <alignment horizontal="center"/>
    </xf>
    <xf numFmtId="0" fontId="12" fillId="0" borderId="0" xfId="9" applyFont="1" applyAlignment="1">
      <alignment horizontal="center"/>
    </xf>
    <xf numFmtId="0" fontId="13" fillId="0" borderId="0" xfId="5" applyFont="1" applyBorder="1" applyAlignment="1">
      <alignment horizontal="center"/>
    </xf>
    <xf numFmtId="0" fontId="14" fillId="0" borderId="0" xfId="8" applyFont="1" applyBorder="1" applyAlignment="1">
      <alignment horizontal="centerContinuous"/>
    </xf>
    <xf numFmtId="0" fontId="2" fillId="0" borderId="0" xfId="8" applyBorder="1" applyAlignment="1">
      <alignment horizontal="centerContinuous"/>
    </xf>
    <xf numFmtId="0" fontId="14" fillId="0" borderId="10" xfId="8" applyFont="1" applyBorder="1" applyAlignment="1">
      <alignment horizontal="centerContinuous"/>
    </xf>
    <xf numFmtId="0" fontId="2" fillId="0" borderId="10" xfId="8" applyBorder="1" applyAlignment="1">
      <alignment horizontal="centerContinuous"/>
    </xf>
  </cellXfs>
  <cellStyles count="11">
    <cellStyle name="60%  Accent1#VqmXNJZnTXe6W1mOtpmOZgaR0Plbp0MkEFwv24Ox/AILv/qxwaajLA==" xfId="3" xr:uid="{00000000-0005-0000-0000-000008000000}"/>
    <cellStyle name="Currency#TnBmtWgHPaIOMaE9nzr2Vti5nYIbiBEMdonl4TJS8kw=" xfId="4" xr:uid="{00000000-0005-0000-0000-000009000000}"/>
    <cellStyle name="Heading 1#M/4h8KgHQiGSi25HF8J/EnT0VCGwE0badQH6bg3oe9Q=" xfId="5" xr:uid="{00000000-0005-0000-0000-00000A000000}"/>
    <cellStyle name="Normal" xfId="0" builtinId="0"/>
    <cellStyle name="Normal 2" xfId="1" xr:uid="{00000000-0005-0000-0000-000004000000}"/>
    <cellStyle name="Normal 2#A09wMfuOz08fQ15xEHT1QfInEOl1On2FHM3IfJIp09U=" xfId="7" xr:uid="{00000000-0005-0000-0000-00000C000000}"/>
    <cellStyle name="Normal 3" xfId="2" xr:uid="{71C6F8FC-FA90-4F3B-8D9E-CE1B2ACFACA7}"/>
    <cellStyle name="Normal 3#Lf8qPvvddn9NjRj4ll/iCFW/5E9ytE9YgY5dc6k9pKc=" xfId="8" xr:uid="{00000000-0005-0000-0000-00000D000000}"/>
    <cellStyle name="Normal#pfnQYTawpReDjHAUJwgiClnvJeEaXYrELGXYJZHUWv8=" xfId="6" xr:uid="{00000000-0005-0000-0000-00000B000000}"/>
    <cellStyle name="Title#qO795TmJSPGmeAdsMcvFEqMRpBToWKWQrWPdrnhE4Ks=" xfId="9" xr:uid="{00000000-0005-0000-0000-00000E000000}"/>
    <cellStyle name="Total#KxlR0ypAcGUCQ3CGSNiZ4uS2b8IpPWEU7jvN5KBYZ0g=" xfId="10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Break Even</a:t>
            </a:r>
            <a:r>
              <a:rPr lang="en-US" b="1" baseline="0">
                <a:solidFill>
                  <a:schemeClr val="tx1"/>
                </a:solidFill>
              </a:rPr>
              <a:t> for Planter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BreakEven!$C$14</c:f>
              <c:strCache>
                <c:ptCount val="1"/>
                <c:pt idx="0">
                  <c:v>Fixed 
Cost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BreakEven!$B$15:$B$24</c:f>
              <c:numCache>
                <c:formatCode>General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cat>
          <c:val>
            <c:numRef>
              <c:f>BreakEven!$C$15:$C$24</c:f>
              <c:numCache>
                <c:formatCode>"$"#,##0</c:formatCode>
                <c:ptCount val="10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A6-4141-8289-3F0C66F9BE82}"/>
            </c:ext>
          </c:extLst>
        </c:ser>
        <c:ser>
          <c:idx val="2"/>
          <c:order val="2"/>
          <c:tx>
            <c:strRef>
              <c:f>BreakEven!$E$14</c:f>
              <c:strCache>
                <c:ptCount val="1"/>
                <c:pt idx="0">
                  <c:v>Total 
Costs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BreakEven!$B$15:$B$24</c:f>
              <c:numCache>
                <c:formatCode>General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cat>
          <c:val>
            <c:numRef>
              <c:f>BreakEven!$E$15:$E$24</c:f>
              <c:numCache>
                <c:formatCode>"$"#,##0</c:formatCode>
                <c:ptCount val="10"/>
                <c:pt idx="0">
                  <c:v>15000</c:v>
                </c:pt>
                <c:pt idx="1">
                  <c:v>21250</c:v>
                </c:pt>
                <c:pt idx="2">
                  <c:v>24375</c:v>
                </c:pt>
                <c:pt idx="3">
                  <c:v>27500</c:v>
                </c:pt>
                <c:pt idx="4">
                  <c:v>30625</c:v>
                </c:pt>
                <c:pt idx="5">
                  <c:v>33750</c:v>
                </c:pt>
                <c:pt idx="6">
                  <c:v>36875</c:v>
                </c:pt>
                <c:pt idx="7">
                  <c:v>40000</c:v>
                </c:pt>
                <c:pt idx="8">
                  <c:v>43125</c:v>
                </c:pt>
                <c:pt idx="9">
                  <c:v>46250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A6-4141-8289-3F0C66F9BE82}"/>
            </c:ext>
          </c:extLst>
        </c:ser>
        <c:ser>
          <c:idx val="3"/>
          <c:order val="3"/>
          <c:tx>
            <c:strRef>
              <c:f>BreakEven!$F$14</c:f>
              <c:strCache>
                <c:ptCount val="1"/>
                <c:pt idx="0">
                  <c:v>Dollar 
Sales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BreakEven!$B$15:$B$24</c:f>
              <c:numCache>
                <c:formatCode>General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cat>
          <c:val>
            <c:numRef>
              <c:f>BreakEven!$F$15:$F$24</c:f>
              <c:numCache>
                <c:formatCode>"$"#,##0</c:formatCode>
                <c:ptCount val="10"/>
                <c:pt idx="0">
                  <c:v>0</c:v>
                </c:pt>
                <c:pt idx="1">
                  <c:v>11250</c:v>
                </c:pt>
                <c:pt idx="2">
                  <c:v>16875</c:v>
                </c:pt>
                <c:pt idx="3">
                  <c:v>22500</c:v>
                </c:pt>
                <c:pt idx="4">
                  <c:v>28125</c:v>
                </c:pt>
                <c:pt idx="5">
                  <c:v>33750</c:v>
                </c:pt>
                <c:pt idx="6">
                  <c:v>39375</c:v>
                </c:pt>
                <c:pt idx="7">
                  <c:v>45000</c:v>
                </c:pt>
                <c:pt idx="8">
                  <c:v>50625</c:v>
                </c:pt>
                <c:pt idx="9">
                  <c:v>56250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A6-4141-8289-3F0C66F9B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347344"/>
        <c:axId val="7779563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BreakEven!$B$14</c15:sqref>
                        </c15:formulaRef>
                      </c:ext>
                    </c:extLst>
                    <c:strCache>
                      <c:ptCount val="1"/>
                      <c:pt idx="0">
                        <c:v># Sold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BreakEven!$B$15:$B$24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</c:v>
                      </c:pt>
                      <c:pt idx="2">
                        <c:v>75</c:v>
                      </c:pt>
                      <c:pt idx="3">
                        <c:v>100</c:v>
                      </c:pt>
                      <c:pt idx="4">
                        <c:v>125</c:v>
                      </c:pt>
                      <c:pt idx="5">
                        <c:v>150</c:v>
                      </c:pt>
                      <c:pt idx="6">
                        <c:v>175</c:v>
                      </c:pt>
                      <c:pt idx="7">
                        <c:v>200</c:v>
                      </c:pt>
                      <c:pt idx="8">
                        <c:v>225</c:v>
                      </c:pt>
                      <c:pt idx="9">
                        <c:v>250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BreakEven!$B$15:$B$24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</c:v>
                      </c:pt>
                      <c:pt idx="2">
                        <c:v>75</c:v>
                      </c:pt>
                      <c:pt idx="3">
                        <c:v>100</c:v>
                      </c:pt>
                      <c:pt idx="4">
                        <c:v>125</c:v>
                      </c:pt>
                      <c:pt idx="5">
                        <c:v>150</c:v>
                      </c:pt>
                      <c:pt idx="6">
                        <c:v>175</c:v>
                      </c:pt>
                      <c:pt idx="7">
                        <c:v>200</c:v>
                      </c:pt>
                      <c:pt idx="8">
                        <c:v>225</c:v>
                      </c:pt>
                      <c:pt idx="9">
                        <c:v>250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0A6-4141-8289-3F0C66F9BE82}"/>
                  </c:ext>
                </c:extLst>
              </c15:ser>
            </c15:filteredLineSeries>
          </c:ext>
        </c:extLst>
      </c:lineChart>
      <c:catAx>
        <c:axId val="79634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56304"/>
        <c:crosses val="autoZero"/>
        <c:auto val="1"/>
        <c:lblAlgn val="ctr"/>
        <c:lblOffset val="100"/>
        <c:noMultiLvlLbl val="0"/>
      </c:catAx>
      <c:valAx>
        <c:axId val="7779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47344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'Gross Margins'!$A$5</c:f>
              <c:strCache>
                <c:ptCount val="1"/>
                <c:pt idx="0">
                  <c:v>Lawn Maintenance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'Gross Margins'!$B$4:$G$4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'Gross Margins'!$B$5:$G$5</c:f>
              <c:numCache>
                <c:formatCode>"$"#,##0</c:formatCode>
                <c:ptCount val="6"/>
                <c:pt idx="0">
                  <c:v>4500</c:v>
                </c:pt>
                <c:pt idx="1">
                  <c:v>5200</c:v>
                </c:pt>
                <c:pt idx="2">
                  <c:v>6500</c:v>
                </c:pt>
                <c:pt idx="3">
                  <c:v>8400</c:v>
                </c:pt>
                <c:pt idx="4">
                  <c:v>8500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9-4B34-ADB0-B39B2A296D95}"/>
            </c:ext>
          </c:extLst>
        </c:ser>
        <c:ser>
          <c:idx val="1"/>
          <c:order val="1"/>
          <c:tx>
            <c:strRef>
              <c:f>'Gross Margins'!$A$6</c:f>
              <c:strCache>
                <c:ptCount val="1"/>
                <c:pt idx="0">
                  <c:v>Tree &amp; Shrubbery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'Gross Margins'!$B$4:$G$4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'Gross Margins'!$B$6:$G$6</c:f>
              <c:numCache>
                <c:formatCode>"$"#,##0</c:formatCode>
                <c:ptCount val="6"/>
                <c:pt idx="0">
                  <c:v>5000</c:v>
                </c:pt>
                <c:pt idx="1">
                  <c:v>3400</c:v>
                </c:pt>
                <c:pt idx="2">
                  <c:v>3500</c:v>
                </c:pt>
                <c:pt idx="3">
                  <c:v>6500</c:v>
                </c:pt>
                <c:pt idx="4">
                  <c:v>12000</c:v>
                </c:pt>
                <c:pt idx="5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9-4B34-ADB0-B39B2A296D95}"/>
            </c:ext>
          </c:extLst>
        </c:ser>
        <c:ser>
          <c:idx val="2"/>
          <c:order val="2"/>
          <c:tx>
            <c:strRef>
              <c:f>'Gross Margins'!$A$7</c:f>
              <c:strCache>
                <c:ptCount val="1"/>
                <c:pt idx="0">
                  <c:v>Patio and Furniture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'Gross Margins'!$B$4:$G$4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'Gross Margins'!$B$7:$G$7</c:f>
              <c:numCache>
                <c:formatCode>"$"#,##0</c:formatCode>
                <c:ptCount val="6"/>
                <c:pt idx="0">
                  <c:v>12000</c:v>
                </c:pt>
                <c:pt idx="1">
                  <c:v>9000</c:v>
                </c:pt>
                <c:pt idx="2">
                  <c:v>15500</c:v>
                </c:pt>
                <c:pt idx="3">
                  <c:v>13500</c:v>
                </c:pt>
                <c:pt idx="4">
                  <c:v>15000</c:v>
                </c:pt>
                <c:pt idx="5">
                  <c:v>12450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F9-4B34-ADB0-B39B2A296D95}"/>
            </c:ext>
          </c:extLst>
        </c:ser>
        <c:ser>
          <c:idx val="3"/>
          <c:order val="3"/>
          <c:tx>
            <c:strRef>
              <c:f>'Gross Margins'!$A$8</c:f>
              <c:strCache>
                <c:ptCount val="1"/>
                <c:pt idx="0">
                  <c:v>Fountains and Irrigation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'Gross Margins'!$B$4:$G$4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'Gross Margins'!$B$8:$G$8</c:f>
              <c:numCache>
                <c:formatCode>"$"#,##0</c:formatCode>
                <c:ptCount val="6"/>
                <c:pt idx="0">
                  <c:v>10000</c:v>
                </c:pt>
                <c:pt idx="1">
                  <c:v>5500</c:v>
                </c:pt>
                <c:pt idx="2">
                  <c:v>6500</c:v>
                </c:pt>
                <c:pt idx="3">
                  <c:v>7200</c:v>
                </c:pt>
                <c:pt idx="4">
                  <c:v>7000</c:v>
                </c:pt>
                <c:pt idx="5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F9-4B34-ADB0-B39B2A296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517584"/>
        <c:axId val="77793566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'Gross Margins'!$A$9</c15:sqref>
                        </c15:formulaRef>
                      </c:ext>
                    </c:extLst>
                    <c:strCache>
                      <c:ptCount val="1"/>
                      <c:pt idx="0">
                        <c:v>Design Consulting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'Gross Margins'!$B$4:$G$4</c15:sqref>
                        </c15:formulaRef>
                      </c:ext>
                    </c:extLst>
                    <c:strCache>
                      <c:ptCount val="6"/>
                      <c:pt idx="0">
                        <c:v>April</c:v>
                      </c:pt>
                      <c:pt idx="1">
                        <c:v>May</c:v>
                      </c:pt>
                      <c:pt idx="2">
                        <c:v>June</c:v>
                      </c:pt>
                      <c:pt idx="3">
                        <c:v>July</c:v>
                      </c:pt>
                      <c:pt idx="4">
                        <c:v>August</c:v>
                      </c:pt>
                      <c:pt idx="5">
                        <c:v>September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'Gross Margins'!$B$9:$G$9</c15:sqref>
                        </c15:formulaRef>
                      </c:ext>
                    </c:extLst>
                    <c:numCache>
                      <c:formatCode>"$"#,##0</c:formatCode>
                      <c:ptCount val="6"/>
                      <c:pt idx="0">
                        <c:v>5000</c:v>
                      </c:pt>
                      <c:pt idx="1">
                        <c:v>5200</c:v>
                      </c:pt>
                      <c:pt idx="2">
                        <c:v>3500</c:v>
                      </c:pt>
                      <c:pt idx="3">
                        <c:v>4500</c:v>
                      </c:pt>
                      <c:pt idx="4">
                        <c:v>3500</c:v>
                      </c:pt>
                      <c:pt idx="5">
                        <c:v>8000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CF9-4B34-ADB0-B39B2A296D95}"/>
                  </c:ext>
                </c:extLst>
              </c15:ser>
            </c15:filteredBarSeries>
          </c:ext>
        </c:extLst>
      </c:barChart>
      <c:catAx>
        <c:axId val="591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35664"/>
        <c:crosses val="autoZero"/>
        <c:auto val="1"/>
        <c:lblAlgn val="ctr"/>
        <c:lblOffset val="100"/>
        <c:noMultiLvlLbl val="0"/>
      </c:catAx>
      <c:valAx>
        <c:axId val="7779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17584"/>
        <c:crosses val="autoZero"/>
        <c:crossBetween val="between"/>
      </c:valAx>
      <c:spPr>
        <a:noFill/>
        <a:ln w="31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25</xdr:row>
      <xdr:rowOff>31750</xdr:rowOff>
    </xdr:from>
    <xdr:to>
      <xdr:col>7</xdr:col>
      <xdr:colOff>635000</xdr:colOff>
      <xdr:row>44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4DF824-2220-270D-F92C-EA762EC59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0.52903</cdr:x>
      <cdr:y>0.47038</cdr:y>
    </cdr:from>
    <cdr:to>
      <cdr:x>0.62079</cdr:x>
      <cdr:y>0.5784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5E0EC460-1E57-12B6-D092-245D4B5351B7}"/>
            </a:ext>
          </a:extLst>
        </cdr:cNvPr>
        <cdr:cNvSpPr/>
      </cdr:nvSpPr>
      <cdr:spPr>
        <a:xfrm xmlns:a="http://schemas.openxmlformats.org/drawingml/2006/main">
          <a:off x="3587750" y="1714500"/>
          <a:ext cx="622300" cy="3937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11</xdr:row>
      <xdr:rowOff>31750</xdr:rowOff>
    </xdr:from>
    <xdr:to>
      <xdr:col>8</xdr:col>
      <xdr:colOff>0</xdr:colOff>
      <xdr:row>29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B70B2-58FB-D119-CA2D-634CD5CEE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84B7-75E4-44F8-B5C9-545D02B4D95B}">
  <sheetPr>
    <tabColor theme="3" tint="0.39997558519241921"/>
    <pageSetUpPr fitToPage="1"/>
  </sheetPr>
  <dimension ref="A1:H24"/>
  <sheetViews>
    <sheetView tabSelected="1" workbookViewId="0">
      <selection activeCell="E11" sqref="E11"/>
    </sheetView>
  </sheetViews>
  <sheetFormatPr defaultColWidth="9.1796875" defaultRowHeight="14.5" x14ac:dyDescent="0.35"/>
  <cols>
    <col min="1" max="1" width="26.1796875" style="5" customWidth="1"/>
    <col min="2" max="2" width="10.1796875" style="5" customWidth="1"/>
    <col min="3" max="3" width="10.26953125" style="5" bestFit="1" customWidth="1"/>
    <col min="4" max="4" width="9.26953125" style="5" bestFit="1" customWidth="1"/>
    <col min="5" max="5" width="10.7265625" style="5" bestFit="1" customWidth="1"/>
    <col min="6" max="6" width="11" style="5" customWidth="1"/>
    <col min="7" max="7" width="10.81640625" style="5" bestFit="1" customWidth="1"/>
    <col min="8" max="16384" width="9.1796875" style="5"/>
  </cols>
  <sheetData>
    <row r="1" spans="1:8" ht="21" x14ac:dyDescent="0.5">
      <c r="A1" s="26" t="s">
        <v>13</v>
      </c>
      <c r="B1" s="27"/>
      <c r="C1" s="27"/>
      <c r="D1" s="27"/>
      <c r="E1" s="27"/>
      <c r="F1" s="27"/>
      <c r="G1" s="27"/>
      <c r="H1" s="27"/>
    </row>
    <row r="2" spans="1:8" ht="21" x14ac:dyDescent="0.5">
      <c r="A2" s="26" t="s">
        <v>14</v>
      </c>
      <c r="B2" s="27"/>
      <c r="C2" s="27"/>
      <c r="D2" s="27"/>
      <c r="E2" s="27"/>
      <c r="F2" s="27"/>
      <c r="G2" s="27"/>
      <c r="H2" s="27"/>
    </row>
    <row r="3" spans="1:8" ht="21" x14ac:dyDescent="0.5">
      <c r="A3" s="28" t="s">
        <v>26</v>
      </c>
      <c r="B3" s="29"/>
      <c r="C3" s="29"/>
      <c r="D3" s="29"/>
      <c r="E3" s="29"/>
      <c r="F3" s="29"/>
      <c r="G3" s="29"/>
      <c r="H3" s="29"/>
    </row>
    <row r="5" spans="1:8" x14ac:dyDescent="0.35">
      <c r="A5" s="6" t="s">
        <v>15</v>
      </c>
      <c r="B5" s="7">
        <v>225</v>
      </c>
    </row>
    <row r="6" spans="1:8" x14ac:dyDescent="0.35">
      <c r="A6" s="8" t="s">
        <v>16</v>
      </c>
      <c r="B6" s="9">
        <v>125</v>
      </c>
    </row>
    <row r="7" spans="1:8" x14ac:dyDescent="0.35">
      <c r="A7" s="19" t="s">
        <v>27</v>
      </c>
      <c r="B7" s="9">
        <v>15000</v>
      </c>
    </row>
    <row r="8" spans="1:8" x14ac:dyDescent="0.35">
      <c r="A8" s="8" t="s">
        <v>17</v>
      </c>
      <c r="B8" s="9">
        <f>B5-B6</f>
        <v>100</v>
      </c>
    </row>
    <row r="9" spans="1:8" x14ac:dyDescent="0.35">
      <c r="A9" s="8"/>
      <c r="B9" s="10"/>
    </row>
    <row r="10" spans="1:8" x14ac:dyDescent="0.35">
      <c r="A10" s="11" t="s">
        <v>18</v>
      </c>
      <c r="B10" s="12">
        <f>ROUND(B7/(B5-B6),0)</f>
        <v>150</v>
      </c>
    </row>
    <row r="14" spans="1:8" ht="43.5" x14ac:dyDescent="0.35">
      <c r="B14" s="13" t="s">
        <v>19</v>
      </c>
      <c r="C14" s="14" t="s">
        <v>20</v>
      </c>
      <c r="D14" s="14" t="s">
        <v>21</v>
      </c>
      <c r="E14" s="14" t="s">
        <v>22</v>
      </c>
      <c r="F14" s="14" t="s">
        <v>23</v>
      </c>
      <c r="G14" s="13" t="s">
        <v>24</v>
      </c>
    </row>
    <row r="15" spans="1:8" x14ac:dyDescent="0.35">
      <c r="B15" s="15">
        <v>0</v>
      </c>
      <c r="C15" s="16">
        <f>$B$7</f>
        <v>15000</v>
      </c>
      <c r="D15" s="16">
        <f>$B$6*B15</f>
        <v>0</v>
      </c>
      <c r="E15" s="16">
        <f>C15+D15</f>
        <v>15000</v>
      </c>
      <c r="F15" s="16">
        <f>$B$5*B15</f>
        <v>0</v>
      </c>
      <c r="G15" s="16">
        <f>F15-E15</f>
        <v>-15000</v>
      </c>
    </row>
    <row r="16" spans="1:8" x14ac:dyDescent="0.35">
      <c r="B16" s="15">
        <v>50</v>
      </c>
      <c r="C16" s="16">
        <f>$B$7</f>
        <v>15000</v>
      </c>
      <c r="D16" s="16">
        <f>$B$6*B16</f>
        <v>6250</v>
      </c>
      <c r="E16" s="16">
        <f>C16+D16</f>
        <v>21250</v>
      </c>
      <c r="F16" s="16">
        <f>$B$5*B16</f>
        <v>11250</v>
      </c>
      <c r="G16" s="16">
        <f>F16-E16</f>
        <v>-10000</v>
      </c>
    </row>
    <row r="17" spans="2:7" x14ac:dyDescent="0.35">
      <c r="B17" s="15">
        <v>75</v>
      </c>
      <c r="C17" s="16">
        <f>$B$7</f>
        <v>15000</v>
      </c>
      <c r="D17" s="16">
        <f>$B$6*B17</f>
        <v>9375</v>
      </c>
      <c r="E17" s="16">
        <f>C17+D17</f>
        <v>24375</v>
      </c>
      <c r="F17" s="16">
        <f>$B$5*B17</f>
        <v>16875</v>
      </c>
      <c r="G17" s="16">
        <f>F17-E17</f>
        <v>-7500</v>
      </c>
    </row>
    <row r="18" spans="2:7" x14ac:dyDescent="0.35">
      <c r="B18" s="15">
        <v>100</v>
      </c>
      <c r="C18" s="16">
        <f>$B$7</f>
        <v>15000</v>
      </c>
      <c r="D18" s="16">
        <f>$B$6*B18</f>
        <v>12500</v>
      </c>
      <c r="E18" s="16">
        <f>C18+D18</f>
        <v>27500</v>
      </c>
      <c r="F18" s="16">
        <f>$B$5*B18</f>
        <v>22500</v>
      </c>
      <c r="G18" s="16">
        <f>F18-E18</f>
        <v>-5000</v>
      </c>
    </row>
    <row r="19" spans="2:7" x14ac:dyDescent="0.35">
      <c r="B19" s="15">
        <v>125</v>
      </c>
      <c r="C19" s="16">
        <f>$B$7</f>
        <v>15000</v>
      </c>
      <c r="D19" s="16">
        <f>$B$6*B19</f>
        <v>15625</v>
      </c>
      <c r="E19" s="16">
        <f>C19+D19</f>
        <v>30625</v>
      </c>
      <c r="F19" s="16">
        <f>$B$5*B19</f>
        <v>28125</v>
      </c>
      <c r="G19" s="16">
        <f>F19-E19</f>
        <v>-2500</v>
      </c>
    </row>
    <row r="20" spans="2:7" x14ac:dyDescent="0.35">
      <c r="B20" s="15">
        <v>150</v>
      </c>
      <c r="C20" s="16">
        <f>$B$7</f>
        <v>15000</v>
      </c>
      <c r="D20" s="16">
        <f>$B$6*B20</f>
        <v>18750</v>
      </c>
      <c r="E20" s="16">
        <f>C20+D20</f>
        <v>33750</v>
      </c>
      <c r="F20" s="16">
        <f>$B$5*B20</f>
        <v>33750</v>
      </c>
      <c r="G20" s="16">
        <f>F20-E20</f>
        <v>0</v>
      </c>
    </row>
    <row r="21" spans="2:7" x14ac:dyDescent="0.35">
      <c r="B21" s="15">
        <v>175</v>
      </c>
      <c r="C21" s="16">
        <f>$B$7</f>
        <v>15000</v>
      </c>
      <c r="D21" s="16">
        <f>$B$6*B21</f>
        <v>21875</v>
      </c>
      <c r="E21" s="16">
        <f>C21+D21</f>
        <v>36875</v>
      </c>
      <c r="F21" s="16">
        <f>$B$5*B21</f>
        <v>39375</v>
      </c>
      <c r="G21" s="16">
        <f>F21-E21</f>
        <v>2500</v>
      </c>
    </row>
    <row r="22" spans="2:7" x14ac:dyDescent="0.35">
      <c r="B22" s="15">
        <v>200</v>
      </c>
      <c r="C22" s="16">
        <f>$B$7</f>
        <v>15000</v>
      </c>
      <c r="D22" s="16">
        <f>$B$6*B22</f>
        <v>25000</v>
      </c>
      <c r="E22" s="16">
        <f>C22+D22</f>
        <v>40000</v>
      </c>
      <c r="F22" s="16">
        <f>$B$5*B22</f>
        <v>45000</v>
      </c>
      <c r="G22" s="16">
        <f>F22-E22</f>
        <v>5000</v>
      </c>
    </row>
    <row r="23" spans="2:7" x14ac:dyDescent="0.35">
      <c r="B23" s="15">
        <v>225</v>
      </c>
      <c r="C23" s="16">
        <f>$B$7</f>
        <v>15000</v>
      </c>
      <c r="D23" s="16">
        <f>$B$6*B23</f>
        <v>28125</v>
      </c>
      <c r="E23" s="16">
        <f>C23+D23</f>
        <v>43125</v>
      </c>
      <c r="F23" s="16">
        <f>$B$5*B23</f>
        <v>50625</v>
      </c>
      <c r="G23" s="16">
        <f>F23-E23</f>
        <v>7500</v>
      </c>
    </row>
    <row r="24" spans="2:7" x14ac:dyDescent="0.35">
      <c r="B24" s="15">
        <v>250</v>
      </c>
      <c r="C24" s="16">
        <f>$B$7</f>
        <v>15000</v>
      </c>
      <c r="D24" s="16">
        <f>$B$6*B24</f>
        <v>31250</v>
      </c>
      <c r="E24" s="16">
        <f>C24+D24</f>
        <v>46250</v>
      </c>
      <c r="F24" s="16">
        <f>$B$5*B24</f>
        <v>56250</v>
      </c>
      <c r="G24" s="16">
        <f>F24-E24</f>
        <v>10000</v>
      </c>
    </row>
  </sheetData>
  <printOptions horizontalCentered="1"/>
  <pageMargins left="0.7" right="0.7" top="0.75" bottom="0.75" header="0.3" footer="0.3"/>
  <pageSetup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fitToPage="1"/>
  </sheetPr>
  <dimension ref="A1:H36"/>
  <sheetViews>
    <sheetView zoomScaleNormal="100" workbookViewId="0">
      <selection sqref="A1:H1"/>
    </sheetView>
  </sheetViews>
  <sheetFormatPr defaultColWidth="9.1796875" defaultRowHeight="14.5" x14ac:dyDescent="0.35"/>
  <cols>
    <col min="1" max="1" width="25" style="1" bestFit="1" customWidth="1"/>
    <col min="2" max="6" width="10.1796875" style="1" bestFit="1" customWidth="1"/>
    <col min="7" max="7" width="10.81640625" style="1" bestFit="1" customWidth="1"/>
    <col min="8" max="8" width="11.1796875" style="1" bestFit="1" customWidth="1"/>
    <col min="9" max="9" width="19.7265625" style="1" bestFit="1" customWidth="1"/>
    <col min="10" max="16384" width="9.1796875" style="1"/>
  </cols>
  <sheetData>
    <row r="1" spans="1:8" ht="22.5" customHeight="1" x14ac:dyDescent="0.6">
      <c r="A1" s="24" t="s">
        <v>4</v>
      </c>
      <c r="B1" s="24"/>
      <c r="C1" s="24"/>
      <c r="D1" s="24"/>
      <c r="E1" s="24"/>
      <c r="F1" s="24"/>
      <c r="G1" s="24"/>
      <c r="H1" s="24"/>
    </row>
    <row r="2" spans="1:8" ht="22.5" customHeight="1" x14ac:dyDescent="0.45">
      <c r="A2" s="25" t="s">
        <v>28</v>
      </c>
      <c r="B2" s="25"/>
      <c r="C2" s="25"/>
      <c r="D2" s="25"/>
      <c r="E2" s="25"/>
      <c r="F2" s="25"/>
      <c r="G2" s="25"/>
      <c r="H2" s="25"/>
    </row>
    <row r="3" spans="1:8" ht="11.25" customHeight="1" x14ac:dyDescent="0.35"/>
    <row r="4" spans="1:8" ht="21" customHeight="1" x14ac:dyDescent="0.35">
      <c r="A4" s="20" t="s">
        <v>25</v>
      </c>
      <c r="B4" s="23" t="s">
        <v>1</v>
      </c>
      <c r="C4" s="23" t="s">
        <v>2</v>
      </c>
      <c r="D4" s="23" t="s">
        <v>3</v>
      </c>
      <c r="E4" s="23" t="s">
        <v>8</v>
      </c>
      <c r="F4" s="23" t="s">
        <v>9</v>
      </c>
      <c r="G4" s="23" t="s">
        <v>10</v>
      </c>
      <c r="H4" s="23" t="s">
        <v>0</v>
      </c>
    </row>
    <row r="5" spans="1:8" ht="18.75" customHeight="1" x14ac:dyDescent="0.35">
      <c r="A5" s="21" t="s">
        <v>5</v>
      </c>
      <c r="B5" s="17">
        <v>4500</v>
      </c>
      <c r="C5" s="17">
        <v>5200</v>
      </c>
      <c r="D5" s="17">
        <v>6500</v>
      </c>
      <c r="E5" s="17">
        <v>8400</v>
      </c>
      <c r="F5" s="17">
        <v>8500</v>
      </c>
      <c r="G5" s="17">
        <v>10000</v>
      </c>
      <c r="H5" s="17">
        <f t="shared" ref="H5:H9" si="0">SUM(B5:G5)</f>
        <v>43100</v>
      </c>
    </row>
    <row r="6" spans="1:8" ht="18.75" customHeight="1" x14ac:dyDescent="0.35">
      <c r="A6" s="21" t="s">
        <v>6</v>
      </c>
      <c r="B6" s="17">
        <v>5000</v>
      </c>
      <c r="C6" s="17">
        <v>3400</v>
      </c>
      <c r="D6" s="17">
        <v>3500</v>
      </c>
      <c r="E6" s="17">
        <v>6500</v>
      </c>
      <c r="F6" s="17">
        <v>12000</v>
      </c>
      <c r="G6" s="17">
        <v>12500</v>
      </c>
      <c r="H6" s="17">
        <f t="shared" si="0"/>
        <v>42900</v>
      </c>
    </row>
    <row r="7" spans="1:8" ht="18.75" customHeight="1" x14ac:dyDescent="0.35">
      <c r="A7" s="21" t="s">
        <v>11</v>
      </c>
      <c r="B7" s="17">
        <v>12000</v>
      </c>
      <c r="C7" s="17">
        <v>9000</v>
      </c>
      <c r="D7" s="17">
        <v>15500</v>
      </c>
      <c r="E7" s="17">
        <v>13500</v>
      </c>
      <c r="F7" s="17">
        <v>15000</v>
      </c>
      <c r="G7" s="17">
        <v>12450</v>
      </c>
      <c r="H7" s="17">
        <f t="shared" si="0"/>
        <v>77450</v>
      </c>
    </row>
    <row r="8" spans="1:8" ht="18.75" customHeight="1" x14ac:dyDescent="0.35">
      <c r="A8" s="21" t="s">
        <v>12</v>
      </c>
      <c r="B8" s="17">
        <v>10000</v>
      </c>
      <c r="C8" s="17">
        <v>5500</v>
      </c>
      <c r="D8" s="17">
        <v>6500</v>
      </c>
      <c r="E8" s="17">
        <v>7200</v>
      </c>
      <c r="F8" s="17">
        <v>7000</v>
      </c>
      <c r="G8" s="17">
        <v>8000</v>
      </c>
      <c r="H8" s="17">
        <f t="shared" si="0"/>
        <v>44200</v>
      </c>
    </row>
    <row r="9" spans="1:8" ht="18.75" customHeight="1" x14ac:dyDescent="0.35">
      <c r="A9" s="21" t="s">
        <v>7</v>
      </c>
      <c r="B9" s="17">
        <v>5000</v>
      </c>
      <c r="C9" s="17">
        <v>5200</v>
      </c>
      <c r="D9" s="17">
        <v>3500</v>
      </c>
      <c r="E9" s="17">
        <v>4500</v>
      </c>
      <c r="F9" s="17">
        <v>3500</v>
      </c>
      <c r="G9" s="17">
        <v>8000</v>
      </c>
      <c r="H9" s="17">
        <f t="shared" si="0"/>
        <v>29700</v>
      </c>
    </row>
    <row r="10" spans="1:8" ht="20.25" customHeight="1" x14ac:dyDescent="0.35">
      <c r="A10" s="22" t="s">
        <v>29</v>
      </c>
      <c r="B10" s="18">
        <f t="shared" ref="B10:H10" si="1">SUM(B5:B9)</f>
        <v>36500</v>
      </c>
      <c r="C10" s="18">
        <f t="shared" si="1"/>
        <v>28300</v>
      </c>
      <c r="D10" s="18">
        <f t="shared" si="1"/>
        <v>35500</v>
      </c>
      <c r="E10" s="18">
        <f t="shared" si="1"/>
        <v>40100</v>
      </c>
      <c r="F10" s="18">
        <f t="shared" si="1"/>
        <v>46000</v>
      </c>
      <c r="G10" s="18">
        <f t="shared" si="1"/>
        <v>50950</v>
      </c>
      <c r="H10" s="18">
        <f t="shared" si="1"/>
        <v>237350</v>
      </c>
    </row>
    <row r="14" spans="1:8" x14ac:dyDescent="0.35">
      <c r="B14" s="2"/>
      <c r="C14" s="2"/>
      <c r="D14" s="2"/>
      <c r="E14" s="2"/>
      <c r="F14" s="2"/>
      <c r="G14" s="2"/>
      <c r="H14" s="2"/>
    </row>
    <row r="15" spans="1:8" x14ac:dyDescent="0.35">
      <c r="B15" s="2"/>
      <c r="C15" s="2"/>
      <c r="D15" s="2"/>
      <c r="E15" s="2"/>
      <c r="F15" s="2"/>
      <c r="G15" s="2"/>
      <c r="H15" s="2"/>
    </row>
    <row r="16" spans="1:8" x14ac:dyDescent="0.35">
      <c r="B16" s="2"/>
      <c r="C16" s="2"/>
      <c r="D16" s="2"/>
      <c r="E16" s="2"/>
      <c r="F16" s="2"/>
      <c r="G16" s="2"/>
      <c r="H16" s="2"/>
    </row>
    <row r="17" spans="2:8" x14ac:dyDescent="0.35"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2" spans="2:8" x14ac:dyDescent="0.35">
      <c r="B22" s="3"/>
      <c r="C22" s="3"/>
      <c r="D22" s="3"/>
      <c r="E22" s="3"/>
      <c r="F22" s="3"/>
      <c r="G22" s="3"/>
      <c r="H22" s="3"/>
    </row>
    <row r="23" spans="2:8" x14ac:dyDescent="0.35">
      <c r="B23" s="3"/>
      <c r="C23" s="3"/>
      <c r="D23" s="3"/>
      <c r="E23" s="3"/>
      <c r="F23" s="3"/>
      <c r="G23" s="3"/>
      <c r="H23" s="3"/>
    </row>
    <row r="24" spans="2:8" x14ac:dyDescent="0.35">
      <c r="B24" s="3"/>
      <c r="C24" s="3"/>
      <c r="D24" s="3"/>
      <c r="E24" s="3"/>
      <c r="F24" s="3"/>
      <c r="G24" s="3"/>
      <c r="H24" s="3"/>
    </row>
    <row r="25" spans="2:8" x14ac:dyDescent="0.35">
      <c r="B25" s="3"/>
      <c r="C25" s="3"/>
      <c r="D25" s="3"/>
      <c r="E25" s="3"/>
      <c r="F25" s="3"/>
      <c r="G25" s="3"/>
      <c r="H25" s="3"/>
    </row>
    <row r="26" spans="2:8" x14ac:dyDescent="0.35">
      <c r="B26" s="3"/>
      <c r="C26" s="3"/>
      <c r="D26" s="3"/>
      <c r="E26" s="3"/>
      <c r="F26" s="3"/>
      <c r="G26" s="3"/>
      <c r="H26" s="3"/>
    </row>
    <row r="27" spans="2:8" x14ac:dyDescent="0.35">
      <c r="B27" s="3"/>
      <c r="C27" s="3"/>
      <c r="D27" s="3"/>
      <c r="E27" s="3"/>
      <c r="F27" s="3"/>
      <c r="G27" s="3"/>
      <c r="H27" s="3"/>
    </row>
    <row r="29" spans="2:8" x14ac:dyDescent="0.35">
      <c r="B29" s="4"/>
      <c r="C29" s="4"/>
      <c r="D29" s="4"/>
      <c r="E29" s="4"/>
      <c r="F29" s="4"/>
      <c r="G29" s="4"/>
      <c r="H29" s="4"/>
    </row>
    <row r="30" spans="2:8" x14ac:dyDescent="0.35">
      <c r="B30" s="4"/>
      <c r="C30" s="4"/>
      <c r="D30" s="4"/>
      <c r="E30" s="4"/>
      <c r="F30" s="4"/>
      <c r="G30" s="4"/>
      <c r="H30" s="4"/>
    </row>
    <row r="31" spans="2:8" x14ac:dyDescent="0.35">
      <c r="B31" s="4"/>
      <c r="C31" s="4"/>
      <c r="D31" s="4"/>
      <c r="E31" s="4"/>
      <c r="F31" s="4"/>
      <c r="G31" s="4"/>
      <c r="H31" s="4"/>
    </row>
    <row r="32" spans="2:8" x14ac:dyDescent="0.35">
      <c r="B32" s="4"/>
      <c r="C32" s="4"/>
      <c r="D32" s="4"/>
      <c r="E32" s="4"/>
      <c r="F32" s="4"/>
      <c r="G32" s="4"/>
      <c r="H32" s="4"/>
    </row>
    <row r="33" spans="2:8" x14ac:dyDescent="0.35">
      <c r="B33" s="4"/>
      <c r="C33" s="4"/>
      <c r="D33" s="4"/>
      <c r="E33" s="4"/>
      <c r="F33" s="4"/>
      <c r="G33" s="4"/>
      <c r="H33" s="4"/>
    </row>
    <row r="34" spans="2:8" x14ac:dyDescent="0.35">
      <c r="B34" s="4"/>
      <c r="C34" s="4"/>
      <c r="D34" s="4"/>
      <c r="E34" s="4"/>
      <c r="F34" s="4"/>
      <c r="G34" s="4"/>
      <c r="H34" s="4"/>
    </row>
    <row r="35" spans="2:8" x14ac:dyDescent="0.35">
      <c r="B35" s="4"/>
      <c r="C35" s="4"/>
      <c r="D35" s="4"/>
      <c r="E35" s="4"/>
      <c r="F35" s="4"/>
      <c r="G35" s="4"/>
      <c r="H35" s="4"/>
    </row>
    <row r="36" spans="2:8" x14ac:dyDescent="0.35">
      <c r="B36" s="4"/>
      <c r="C36" s="4"/>
      <c r="D36" s="4"/>
      <c r="E36" s="4"/>
      <c r="F36" s="4"/>
      <c r="G36" s="4"/>
      <c r="H36" s="4"/>
    </row>
  </sheetData>
  <mergeCells count="2">
    <mergeCell ref="A1:H1"/>
    <mergeCell ref="A2:H2"/>
  </mergeCells>
  <printOptions horizontalCentered="1"/>
  <pageMargins left="0.75" right="0.75" top="0.75" bottom="0.75" header="0.3" footer="0.3"/>
  <pageSetup orientation="landscape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enna xmlns="http://customxml.org">
  <kers>VCM0NgrEuGmBvaL6PArPjMxGgjmVZva0wobaVesHHO0=</kers>
  <massa>9/14/2026 9:34:01 AM</massa>
  <hamilton>true</hamilton>
</senn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F171E3-C33A-4CFD-995B-66DF6A21D4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63EE0B-245E-4A7E-A8E2-42DCF06D0776}">
  <ds:schemaRefs>
    <ds:schemaRef ds:uri="http://customxml.org"/>
  </ds:schemaRefs>
</ds:datastoreItem>
</file>

<file path=customXml/itemProps3.xml><?xml version="1.0" encoding="utf-8"?>
<ds:datastoreItem xmlns:ds="http://schemas.openxmlformats.org/officeDocument/2006/customXml" ds:itemID="{530A416B-A74C-4FB0-BF11-5BD2A6224D06}">
  <ds:schemaRefs>
    <ds:schemaRef ds:uri="http://schemas.microsoft.com/office/2006/metadata/properties"/>
    <ds:schemaRef ds:uri="http://schemas.microsoft.com/office/infopath/2007/PartnerControls"/>
    <ds:schemaRef ds:uri="d2abd38f-6d5a-473d-b1ba-4829743c656b"/>
    <ds:schemaRef ds:uri="59d4ac86-31f8-4cd3-8d96-c5f03de7de39"/>
  </ds:schemaRefs>
</ds:datastoreItem>
</file>

<file path=customXml/itemProps4.xml><?xml version="1.0" encoding="utf-8"?>
<ds:datastoreItem xmlns:ds="http://schemas.openxmlformats.org/officeDocument/2006/customXml" ds:itemID="{37CCE76A-12C5-4C14-AFE5-5EA2F52E50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BreakEven</vt:lpstr>
      <vt:lpstr>Gross Margins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2021-04-06T21:58:38Z</dcterms:created>
  <dcterms:modified xsi:type="dcterms:W3CDTF">2026-09-14T15:09:37Z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  <property fmtid="{D5CDD505-2E9C-101B-9397-08002B2CF9AE}" pid="3" name="ms_schema_validation">
    <vt:lpwstr>[{"Key":"kers","Value":"VCM0NgrEuGmBvaL6PArPjMxGgjmVZva0wobaVesHHO0="},{"Key":"massa","Value":"9/14/2026 9:34:01 AM"},{"Key":"hamilton","Value":"true"}]</vt:lpwstr>
  </property>
</Properties>
</file>