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codeName="ThisWorkbook" defaultThemeVersion="202300"/>
  <xr:revisionPtr revIDLastSave="0" documentId="8_{64B2E2A6-147C-4573-ACA2-E50B4F4152CA}" xr6:coauthVersionLast="47" xr6:coauthVersionMax="47" xr10:uidLastSave="{00000000-0000-0000-0000-000000000000}"/>
  <bookViews>
    <workbookView xWindow="5980" yWindow="2280" windowWidth="16920" windowHeight="10540" activeTab="1" xr2:uid="{00000000-000D-0000-FFFF-FFFF00000000}"/>
  </bookViews>
  <sheets>
    <sheet name="Listings" sheetId="6" r:id="rId1"/>
    <sheet name="PivotTable" sheetId="8" r:id="rId2"/>
    <sheet name="Table" sheetId="7" r:id="rId3"/>
  </sheets>
  <definedNames>
    <definedName name="Monthly_Total">#REF!</definedName>
  </definedNames>
  <calcPr calcId="191029"/>
  <pivotCaches>
    <pivotCache cacheId="8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7" l="1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</calcChain>
</file>

<file path=xl/sharedStrings.xml><?xml version="1.0" encoding="utf-8"?>
<sst xmlns="http://schemas.openxmlformats.org/spreadsheetml/2006/main" count="220" uniqueCount="60">
  <si>
    <t>Sale Price</t>
  </si>
  <si>
    <t>Placer Hills Real Estate</t>
  </si>
  <si>
    <t>Listed</t>
  </si>
  <si>
    <t>List Price</t>
  </si>
  <si>
    <t>Address</t>
  </si>
  <si>
    <t>City</t>
  </si>
  <si>
    <t>Sq Ft</t>
  </si>
  <si>
    <t>Beds</t>
  </si>
  <si>
    <t>Baths</t>
  </si>
  <si>
    <t>Garage</t>
  </si>
  <si>
    <t>Construction</t>
  </si>
  <si>
    <t>Year 
Built</t>
  </si>
  <si>
    <t>Sale Date</t>
  </si>
  <si>
    <t>3420 Milburn Street</t>
  </si>
  <si>
    <t>Rocklin</t>
  </si>
  <si>
    <t>3 Car Attached</t>
  </si>
  <si>
    <t>Frame</t>
  </si>
  <si>
    <t>2128 Wedgewood</t>
  </si>
  <si>
    <t>Roseville</t>
  </si>
  <si>
    <t>1 Car Detached</t>
  </si>
  <si>
    <t>Stone</t>
  </si>
  <si>
    <t>4336 Newland Heights Drive</t>
  </si>
  <si>
    <t>2 Car Attached</t>
  </si>
  <si>
    <t>131 Aeolia Drive</t>
  </si>
  <si>
    <t>Auburn</t>
  </si>
  <si>
    <t>2 Car Detached</t>
  </si>
  <si>
    <t>Brick</t>
  </si>
  <si>
    <t>12355 Krista Lane</t>
  </si>
  <si>
    <t>1096 Kinnerly Lane</t>
  </si>
  <si>
    <t>Lincoln</t>
  </si>
  <si>
    <t>272 Lariat Loop</t>
  </si>
  <si>
    <t>1255 Copperdale</t>
  </si>
  <si>
    <t>324 Center Point</t>
  </si>
  <si>
    <t>3 Car Detached</t>
  </si>
  <si>
    <t>Row Labels</t>
  </si>
  <si>
    <t>Grand Total</t>
  </si>
  <si>
    <t>Listings Information This Quarter</t>
  </si>
  <si>
    <t>Listing
 ID</t>
  </si>
  <si>
    <t>Agent
 ID</t>
  </si>
  <si>
    <t>1925 Greenville Lane</t>
  </si>
  <si>
    <t>3429 Maple Stree</t>
  </si>
  <si>
    <t>101 Lombard Road</t>
  </si>
  <si>
    <t>5721 Tuscany Lane</t>
  </si>
  <si>
    <t>89 W Tenth Avenue</t>
  </si>
  <si>
    <t>9161 Sutton Court</t>
  </si>
  <si>
    <t>13200 Centennial Drive</t>
  </si>
  <si>
    <t>3247 Mulranny Drive</t>
  </si>
  <si>
    <t>578 Ann Street</t>
  </si>
  <si>
    <t>12222 Greenwood Street</t>
  </si>
  <si>
    <t>809 Martin Lane</t>
  </si>
  <si>
    <t>7824 Hughes Court</t>
  </si>
  <si>
    <t>907 September Lane</t>
  </si>
  <si>
    <t>Current Sales Data</t>
  </si>
  <si>
    <t>Total Sales</t>
  </si>
  <si>
    <t>Listing</t>
  </si>
  <si>
    <t>Sale</t>
  </si>
  <si>
    <t>List</t>
  </si>
  <si>
    <t>Days</t>
  </si>
  <si>
    <t>Average Sale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</si>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</sst>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</numFmts>
  <fonts count="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/>
    <xf numFmtId="0" fontId="1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4" fillId="0" borderId="0" xfId="5"/>
    <xf numFmtId="0" fontId="3" fillId="0" borderId="0" xfId="5" applyFont="1" applyAlignment="1">
      <alignment horizontal="centerContinuous"/>
    </xf>
    <xf numFmtId="0" fontId="4" fillId="0" borderId="0" xfId="5" applyAlignment="1">
      <alignment horizontal="centerContinuous"/>
    </xf>
    <xf numFmtId="0" fontId="2" fillId="0" borderId="1" xfId="5" applyFont="1" applyBorder="1" applyAlignment="1">
      <alignment horizontal="center"/>
    </xf>
    <xf numFmtId="0" fontId="2" fillId="0" borderId="1" xfId="5" applyFont="1" applyBorder="1" applyAlignment="1">
      <alignment horizontal="center" wrapText="1"/>
    </xf>
    <xf numFmtId="0" fontId="4" fillId="0" borderId="1" xfId="5" applyBorder="1"/>
    <xf numFmtId="164" fontId="4" fillId="0" borderId="1" xfId="5" applyNumberFormat="1" applyBorder="1"/>
    <xf numFmtId="14" fontId="4" fillId="0" borderId="1" xfId="5" applyNumberFormat="1" applyBorder="1"/>
    <xf numFmtId="0" fontId="4" fillId="0" borderId="2" xfId="5" applyBorder="1"/>
    <xf numFmtId="14" fontId="4" fillId="0" borderId="3" xfId="5" applyNumberFormat="1" applyBorder="1"/>
    <xf numFmtId="0" fontId="4" fillId="0" borderId="7" xfId="5" applyBorder="1"/>
    <xf numFmtId="0" fontId="4" fillId="0" borderId="8" xfId="5" applyBorder="1"/>
    <xf numFmtId="164" fontId="4" fillId="0" borderId="8" xfId="5" applyNumberFormat="1" applyBorder="1"/>
    <xf numFmtId="14" fontId="4" fillId="0" borderId="8" xfId="5" applyNumberFormat="1" applyBorder="1"/>
    <xf numFmtId="14" fontId="4" fillId="0" borderId="9" xfId="5" applyNumberFormat="1" applyBorder="1"/>
    <xf numFmtId="0" fontId="3" fillId="0" borderId="0" xfId="5" applyFont="1"/>
    <xf numFmtId="0" fontId="0" fillId="0" borderId="1" xfId="0" pivotButton="1" applyBorder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0" borderId="1" xfId="0" applyFill="1" applyBorder="1"/>
    <xf numFmtId="0" fontId="2" fillId="0" borderId="4" xfId="5" applyFont="1" applyBorder="1" applyAlignment="1">
      <alignment horizontal="centerContinuous" wrapText="1"/>
    </xf>
    <xf numFmtId="0" fontId="2" fillId="0" borderId="5" xfId="5" applyFont="1" applyBorder="1" applyAlignment="1">
      <alignment horizontal="centerContinuous" wrapText="1"/>
    </xf>
    <xf numFmtId="0" fontId="2" fillId="0" borderId="5" xfId="5" applyFont="1" applyBorder="1" applyAlignment="1">
      <alignment horizontal="centerContinuous"/>
    </xf>
    <xf numFmtId="0" fontId="2" fillId="0" borderId="6" xfId="5" applyFont="1" applyBorder="1" applyAlignment="1">
      <alignment horizontal="centerContinuous" wrapText="1"/>
    </xf>
    <xf numFmtId="0" fontId="2" fillId="0" borderId="1" xfId="0" applyFont="1" applyBorder="1" applyAlignment="1">
      <alignment horizontal="centerContinuous"/>
    </xf>
    <xf numFmtId="6" fontId="0" fillId="0" borderId="1" xfId="0" applyNumberFormat="1" applyBorder="1"/>
  </cellXfs>
  <cellStyles count="8">
    <cellStyle name="Currency 2" xfId="1" xr:uid="{00000000-0005-0000-0000-000000000000}"/>
    <cellStyle name="Currency 2#TnBmtWgHPaJiypUsAhvTiXp3lXkdtuTioBVYuwY1o9S84uvL84R98A==" xfId="4" xr:uid="{00000000-0005-0000-0000-000004000000}"/>
    <cellStyle name="Normal" xfId="0" builtinId="0"/>
    <cellStyle name="Normal 2" xfId="2" xr:uid="{00000000-0005-0000-0000-000002000000}"/>
    <cellStyle name="Normal 2#A09wMfuOz08fQ15xEHT1QWbuFszbEpLEeOr0VAVfUnQ=" xfId="6" xr:uid="{00000000-0005-0000-0000-000006000000}"/>
    <cellStyle name="Normal#pfnQYTawpReDjHAUJwgiCudlEV+zRO7CZMmCS5iO1mw=" xfId="5" xr:uid="{00000000-0005-0000-0000-000005000000}"/>
    <cellStyle name="Percent 2" xfId="3" xr:uid="{00000000-0005-0000-0000-000003000000}"/>
    <cellStyle name="Percent 2#aXfEjfKE6HieCuOp6l07ALRx2atKGzr6JM6wC4De6Gc=" xfId="7" xr:uid="{00000000-0005-0000-0000-000007000000}"/>
  </cellStyles>
  <dxfs count="6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Continuous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numFmt numFmtId="19" formatCode="m/d/yyyy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</dxfs>
  <tableStyles count="0" defaultTableStyle="TableStyleMedium9" defaultPivotStyle="PivotStyleLight16"/>
  <colors>
    <mruColors>
      <color rgb="FFC2E884"/>
      <color rgb="FFD589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199.639832638888" createdVersion="8" refreshedVersion="8" minRefreshableVersion="3" recordCount="22" xr:uid="{EFF3DAE1-9E36-4C45-B021-AC6DAAADCE46}">
  <cacheSource type="worksheet">
    <worksheetSource ref="A4:N26" sheet="Listings"/>
  </cacheSource>
  <cacheFields count="15">
    <cacheField name="Listing_x000a_ ID" numFmtId="0">
      <sharedItems containsSemiMixedTypes="0" containsString="0" containsNumber="1" containsInteger="1" minValue="10025" maxValue="10199" count="22">
        <n v="10025"/>
        <n v="10027"/>
        <n v="10033"/>
        <n v="10042"/>
        <n v="10045"/>
        <n v="10052"/>
        <n v="10054"/>
        <n v="10069"/>
        <n v="10172"/>
        <n v="10175"/>
        <n v="10177"/>
        <n v="10179"/>
        <n v="10181"/>
        <n v="10183"/>
        <n v="10185"/>
        <n v="10187"/>
        <n v="10189"/>
        <n v="10191"/>
        <n v="10193"/>
        <n v="10195"/>
        <n v="10197"/>
        <n v="10199"/>
      </sharedItems>
    </cacheField>
    <cacheField name="Agent_x000a_ ID" numFmtId="0">
      <sharedItems containsSemiMixedTypes="0" containsString="0" containsNumber="1" containsInteger="1" minValue="103" maxValue="168" count="5">
        <n v="160"/>
        <n v="127"/>
        <n v="103"/>
        <n v="168"/>
        <n v="151"/>
      </sharedItems>
    </cacheField>
    <cacheField name="Address" numFmtId="0">
      <sharedItems/>
    </cacheField>
    <cacheField name="City" numFmtId="0">
      <sharedItems count="4">
        <s v="Rocklin"/>
        <s v="Roseville"/>
        <s v="Auburn"/>
        <s v="Lincoln"/>
      </sharedItems>
    </cacheField>
    <cacheField name="Sq Ft" numFmtId="0">
      <sharedItems containsSemiMixedTypes="0" containsString="0" containsNumber="1" containsInteger="1" minValue="1184" maxValue="2234"/>
    </cacheField>
    <cacheField name="Beds" numFmtId="0">
      <sharedItems containsSemiMixedTypes="0" containsString="0" containsNumber="1" containsInteger="1" minValue="2" maxValue="4"/>
    </cacheField>
    <cacheField name="Baths" numFmtId="0">
      <sharedItems containsSemiMixedTypes="0" containsString="0" containsNumber="1" containsInteger="1" minValue="1" maxValue="4"/>
    </cacheField>
    <cacheField name="Garage" numFmtId="0">
      <sharedItems/>
    </cacheField>
    <cacheField name="Construction" numFmtId="0">
      <sharedItems/>
    </cacheField>
    <cacheField name="Year _x000a_Built" numFmtId="0">
      <sharedItems containsSemiMixedTypes="0" containsString="0" containsNumber="1" containsInteger="1" minValue="1940" maxValue="2019"/>
    </cacheField>
    <cacheField name="List Price" numFmtId="164">
      <sharedItems containsSemiMixedTypes="0" containsString="0" containsNumber="1" containsInteger="1" minValue="239600" maxValue="725000"/>
    </cacheField>
    <cacheField name="Sale Price" numFmtId="164">
      <sharedItems containsSemiMixedTypes="0" containsString="0" containsNumber="1" containsInteger="1" minValue="237000" maxValue="705000" count="20">
        <n v="702500"/>
        <n v="345000"/>
        <n v="327000"/>
        <n v="385000"/>
        <n v="699999"/>
        <n v="380000"/>
        <n v="615000"/>
        <n v="237000"/>
        <n v="550000"/>
        <n v="580000"/>
        <n v="650000"/>
        <n v="635000"/>
        <n v="538000"/>
        <n v="705000"/>
        <n v="600000"/>
        <n v="355000"/>
        <n v="545000"/>
        <n v="595000"/>
        <n v="636000"/>
        <n v="619000"/>
      </sharedItems>
    </cacheField>
    <cacheField name="Listed" numFmtId="14">
      <sharedItems containsSemiMixedTypes="0" containsNonDate="0" containsDate="1" containsString="0" minDate="2025-01-01T00:00:00" maxDate="2025-02-13T00:00:00"/>
    </cacheField>
    <cacheField name="Sale Date" numFmtId="14">
      <sharedItems containsSemiMixedTypes="0" containsNonDate="0" containsDate="1" containsString="0" minDate="2025-02-15T00:00:00" maxDate="2025-03-30T00:00:00"/>
    </cacheField>
    <cacheField name="Difference" numFmtId="0" formula="'List Price' -'Sale Price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x v="0"/>
    <s v="3420 Milburn Street"/>
    <x v="0"/>
    <n v="1900"/>
    <n v="4"/>
    <n v="3"/>
    <s v="3 Car Attached"/>
    <s v="Frame"/>
    <n v="1988"/>
    <n v="715000"/>
    <x v="0"/>
    <d v="2025-01-01T00:00:00"/>
    <d v="2025-02-15T00:00:00"/>
  </r>
  <r>
    <x v="1"/>
    <x v="1"/>
    <s v="2128 Wedgewood"/>
    <x v="1"/>
    <n v="1184"/>
    <n v="3"/>
    <n v="2"/>
    <s v="1 Car Detached"/>
    <s v="Stone"/>
    <n v="1998"/>
    <n v="335000"/>
    <x v="1"/>
    <d v="2025-01-03T00:00:00"/>
    <d v="2025-02-17T00:00:00"/>
  </r>
  <r>
    <x v="2"/>
    <x v="2"/>
    <s v="4336 Newland Heights Drive"/>
    <x v="0"/>
    <n v="1840"/>
    <n v="2"/>
    <n v="2"/>
    <s v="2 Car Attached"/>
    <s v="Frame"/>
    <n v="1999"/>
    <n v="334500"/>
    <x v="2"/>
    <d v="2025-01-05T00:00:00"/>
    <d v="2025-02-19T00:00:00"/>
  </r>
  <r>
    <x v="3"/>
    <x v="3"/>
    <s v="131 Aeolia Drive"/>
    <x v="2"/>
    <n v="1905"/>
    <n v="3"/>
    <n v="2"/>
    <s v="2 Car Detached"/>
    <s v="Brick"/>
    <n v="1940"/>
    <n v="385000"/>
    <x v="3"/>
    <d v="2025-01-07T00:00:00"/>
    <d v="2025-02-21T00:00:00"/>
  </r>
  <r>
    <x v="4"/>
    <x v="3"/>
    <s v="12355 Krista Lane"/>
    <x v="2"/>
    <n v="2234"/>
    <n v="3"/>
    <n v="3"/>
    <s v="2 Car Attached"/>
    <s v="Brick"/>
    <n v="1984"/>
    <n v="712000"/>
    <x v="4"/>
    <d v="2025-01-09T00:00:00"/>
    <d v="2025-02-23T00:00:00"/>
  </r>
  <r>
    <x v="5"/>
    <x v="2"/>
    <s v="1096 Kinnerly Lane"/>
    <x v="3"/>
    <n v="1948"/>
    <n v="3"/>
    <n v="3"/>
    <s v="3 Car Attached"/>
    <s v="Brick"/>
    <n v="1995"/>
    <n v="365000"/>
    <x v="5"/>
    <d v="2025-01-11T00:00:00"/>
    <d v="2025-02-25T00:00:00"/>
  </r>
  <r>
    <x v="6"/>
    <x v="3"/>
    <s v="272 Lariat Loop"/>
    <x v="3"/>
    <n v="1571"/>
    <n v="2"/>
    <n v="1"/>
    <s v="2 Car Attached"/>
    <s v="Stone"/>
    <n v="2002"/>
    <n v="615000"/>
    <x v="6"/>
    <d v="2025-01-13T00:00:00"/>
    <d v="2025-02-27T00:00:00"/>
  </r>
  <r>
    <x v="7"/>
    <x v="4"/>
    <s v="1255 Copperdale"/>
    <x v="2"/>
    <n v="1456"/>
    <n v="3"/>
    <n v="2"/>
    <s v="2 Car Detached"/>
    <s v="Frame"/>
    <n v="1995"/>
    <n v="239600"/>
    <x v="7"/>
    <d v="2025-01-15T00:00:00"/>
    <d v="2025-03-01T00:00:00"/>
  </r>
  <r>
    <x v="8"/>
    <x v="0"/>
    <s v="324 Center Point"/>
    <x v="1"/>
    <n v="1480"/>
    <n v="2"/>
    <n v="2"/>
    <s v="3 Car Detached"/>
    <s v="Frame"/>
    <n v="1991"/>
    <n v="565000"/>
    <x v="8"/>
    <d v="2025-01-17T00:00:00"/>
    <d v="2025-03-03T00:00:00"/>
  </r>
  <r>
    <x v="9"/>
    <x v="3"/>
    <s v="1925 Greenville Lane"/>
    <x v="2"/>
    <n v="1850"/>
    <n v="3"/>
    <n v="3"/>
    <s v="2 Car Detached"/>
    <s v="Brick"/>
    <n v="2006"/>
    <n v="589000"/>
    <x v="9"/>
    <d v="2025-01-19T00:00:00"/>
    <d v="2025-03-05T00:00:00"/>
  </r>
  <r>
    <x v="10"/>
    <x v="0"/>
    <s v="3429 Maple Stree"/>
    <x v="1"/>
    <n v="1900"/>
    <n v="4"/>
    <n v="3"/>
    <s v="2 Car Detached"/>
    <s v="Stone"/>
    <n v="2008"/>
    <n v="622500"/>
    <x v="6"/>
    <d v="2025-01-21T00:00:00"/>
    <d v="2025-03-07T00:00:00"/>
  </r>
  <r>
    <x v="11"/>
    <x v="1"/>
    <s v="101 Lombard Road"/>
    <x v="0"/>
    <n v="1184"/>
    <n v="3"/>
    <n v="2"/>
    <s v="2 Car Attached"/>
    <s v="Frame"/>
    <n v="2009"/>
    <n v="649000"/>
    <x v="10"/>
    <d v="2025-01-23T00:00:00"/>
    <d v="2025-03-09T00:00:00"/>
  </r>
  <r>
    <x v="12"/>
    <x v="2"/>
    <s v="5721 Tuscany Lane"/>
    <x v="2"/>
    <n v="1840"/>
    <n v="2"/>
    <n v="2"/>
    <s v="3 Car Attached"/>
    <s v="Stone"/>
    <n v="2011"/>
    <n v="650000"/>
    <x v="11"/>
    <d v="2025-01-25T00:00:00"/>
    <d v="2025-03-11T00:00:00"/>
  </r>
  <r>
    <x v="13"/>
    <x v="3"/>
    <s v="89 W Tenth Avenue"/>
    <x v="2"/>
    <n v="1905"/>
    <n v="3"/>
    <n v="2"/>
    <s v="2 Car Attached"/>
    <s v="Brick"/>
    <n v="2015"/>
    <n v="599999"/>
    <x v="12"/>
    <d v="2025-01-27T00:00:00"/>
    <d v="2025-03-13T00:00:00"/>
  </r>
  <r>
    <x v="14"/>
    <x v="0"/>
    <s v="9161 Sutton Court"/>
    <x v="3"/>
    <n v="2234"/>
    <n v="3"/>
    <n v="3"/>
    <s v="2 Car Detached"/>
    <s v="Stone"/>
    <n v="2019"/>
    <n v="725000"/>
    <x v="13"/>
    <d v="2025-01-29T00:00:00"/>
    <d v="2025-03-15T00:00:00"/>
  </r>
  <r>
    <x v="15"/>
    <x v="1"/>
    <s v="13200 Centennial Drive"/>
    <x v="3"/>
    <n v="1948"/>
    <n v="3"/>
    <n v="3"/>
    <s v="3 Car Detached"/>
    <s v="Frame"/>
    <n v="2018"/>
    <n v="585000"/>
    <x v="14"/>
    <d v="2025-01-31T00:00:00"/>
    <d v="2025-03-17T00:00:00"/>
  </r>
  <r>
    <x v="16"/>
    <x v="2"/>
    <s v="3247 Mulranny Drive"/>
    <x v="2"/>
    <n v="1571"/>
    <n v="2"/>
    <n v="1"/>
    <s v="2 Car Detached"/>
    <s v="Brick"/>
    <n v="1989"/>
    <n v="355000"/>
    <x v="15"/>
    <d v="2025-02-02T00:00:00"/>
    <d v="2025-03-19T00:00:00"/>
  </r>
  <r>
    <x v="17"/>
    <x v="2"/>
    <s v="578 Ann Street"/>
    <x v="1"/>
    <n v="1456"/>
    <n v="3"/>
    <n v="2"/>
    <s v="2 Car Attached"/>
    <s v="Frame"/>
    <n v="1990"/>
    <n v="615000"/>
    <x v="6"/>
    <d v="2025-02-04T00:00:00"/>
    <d v="2025-03-21T00:00:00"/>
  </r>
  <r>
    <x v="18"/>
    <x v="1"/>
    <s v="12222 Greenwood Street"/>
    <x v="0"/>
    <n v="1480"/>
    <n v="2"/>
    <n v="2"/>
    <s v="1 Car Detached"/>
    <s v="Frame"/>
    <n v="1975"/>
    <n v="550000"/>
    <x v="16"/>
    <d v="2025-02-06T00:00:00"/>
    <d v="2025-03-23T00:00:00"/>
  </r>
  <r>
    <x v="19"/>
    <x v="0"/>
    <s v="809 Martin Lane"/>
    <x v="2"/>
    <n v="1850"/>
    <n v="3"/>
    <n v="3"/>
    <s v="2 Car Attached"/>
    <s v="Brick"/>
    <n v="2005"/>
    <n v="585000"/>
    <x v="17"/>
    <d v="2025-02-08T00:00:00"/>
    <d v="2025-03-25T00:00:00"/>
  </r>
  <r>
    <x v="20"/>
    <x v="4"/>
    <s v="7824 Hughes Court"/>
    <x v="3"/>
    <n v="2200"/>
    <n v="4"/>
    <n v="4"/>
    <s v="3 Car Detached"/>
    <s v="Brick"/>
    <n v="2015"/>
    <n v="650000"/>
    <x v="18"/>
    <d v="2025-02-10T00:00:00"/>
    <d v="2025-03-27T00:00:00"/>
  </r>
  <r>
    <x v="21"/>
    <x v="4"/>
    <s v="907 September Lane"/>
    <x v="3"/>
    <n v="1950"/>
    <n v="3"/>
    <n v="3"/>
    <s v="2 Car Attached"/>
    <s v="Stone"/>
    <n v="2007"/>
    <n v="625000"/>
    <x v="19"/>
    <d v="2025-02-12T00:00:00"/>
    <d v="2025-03-29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4F6642-E99B-43A5-B0F0-F3615A905979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isting">
  <location ref="F3:I26" firstHeaderRow="0" firstDataRow="1" firstDataCol="1"/>
  <pivotFields count="15">
    <pivotField axis="axisRow" numFmtId="164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164" showAll="0"/>
    <pivotField dataField="1" numFmtId="164" showAll="0">
      <items count="21">
        <item x="7"/>
        <item x="2"/>
        <item x="1"/>
        <item x="15"/>
        <item x="5"/>
        <item x="3"/>
        <item x="12"/>
        <item x="16"/>
        <item x="8"/>
        <item x="9"/>
        <item x="17"/>
        <item x="14"/>
        <item x="6"/>
        <item x="19"/>
        <item x="11"/>
        <item x="18"/>
        <item x="10"/>
        <item x="4"/>
        <item x="0"/>
        <item x="13"/>
        <item t="default"/>
      </items>
    </pivotField>
    <pivotField numFmtId="14" showAll="0"/>
    <pivotField numFmtId="14" showAll="0"/>
    <pivotField dataField="1" dragToRow="0" dragToCol="0" dragToPage="0" showAll="0" defaultSubtotal="0"/>
  </pivotFields>
  <rowFields count="1">
    <field x="0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ale" fld="11" baseField="0" baseItem="0" numFmtId="164"/>
    <dataField name="List" fld="10" baseField="0" baseItem="0" numFmtId="164"/>
    <dataField name="Difference" fld="14" baseField="0" baseItem="0" numFmtId="6"/>
  </dataFields>
  <formats count="11">
    <format dxfId="19">
      <pivotArea type="all" dataOnly="0" outline="0" fieldPosition="0"/>
    </format>
    <format dxfId="20">
      <pivotArea outline="0" collapsedLevelsAreSubtotals="1" fieldPosition="0"/>
    </format>
    <format dxfId="21">
      <pivotArea field="1" type="button" dataOnly="0" labelOnly="1" outline="0"/>
    </format>
    <format dxfId="22">
      <pivotArea dataOnly="0" labelOnly="1" grandRow="1" outline="0" fieldPosition="0"/>
    </format>
    <format dxfId="2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0" type="button" dataOnly="0" labelOnly="1" outline="0" axis="axisRow" fieldPosition="0"/>
    </format>
    <format dxfId="13">
      <pivotArea dataOnly="0" labelOnly="1" fieldPosition="0">
        <references count="1">
          <reference field="0" count="0"/>
        </references>
      </pivotArea>
    </format>
    <format dxfId="12">
      <pivotArea dataOnly="0" labelOnly="1" grandRow="1" outline="0" fieldPosition="0"/>
    </format>
    <format dxfId="1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0ACFC2-979B-484D-8338-B0990F09B40B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15">
    <pivotField showAll="0"/>
    <pivotField axis="axisRow" showAll="0">
      <items count="6">
        <item x="2"/>
        <item x="1"/>
        <item x="4"/>
        <item x="0"/>
        <item x="3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dataField="1" numFmtId="164" showAll="0">
      <items count="21">
        <item x="7"/>
        <item x="2"/>
        <item x="1"/>
        <item x="15"/>
        <item x="5"/>
        <item x="3"/>
        <item x="12"/>
        <item x="16"/>
        <item x="8"/>
        <item x="9"/>
        <item x="17"/>
        <item x="14"/>
        <item x="6"/>
        <item x="19"/>
        <item x="11"/>
        <item x="18"/>
        <item x="10"/>
        <item x="4"/>
        <item x="0"/>
        <item x="13"/>
        <item t="default"/>
      </items>
    </pivotField>
    <pivotField numFmtId="14" showAll="0"/>
    <pivotField numFmtId="14" showAll="0"/>
    <pivotField dragToRow="0" dragToCol="0" dragToPage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11" baseField="0" baseItem="0" numFmtId="164"/>
    <dataField name="Average Sale" fld="11" subtotal="average" baseField="0" baseItem="0" numFmtId="164"/>
  </dataFields>
  <formats count="6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1" type="button" dataOnly="0" labelOnly="1" outline="0" axis="axisRow" fieldPosition="0"/>
    </format>
    <format dxfId="26">
      <pivotArea dataOnly="0" labelOnly="1" fieldPosition="0">
        <references count="1">
          <reference field="1" count="0"/>
        </references>
      </pivotArea>
    </format>
    <format dxfId="25">
      <pivotArea dataOnly="0" labelOnly="1" grandRow="1" outline="0" fieldPosition="0"/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EDCEED-222A-433E-B738-23F75ED66791}" name="Table1" displayName="Table1" ref="A4:O26" totalsRowShown="0" headerRowDxfId="17" dataDxfId="64" headerRowBorderDxfId="65" tableBorderDxfId="63" totalsRowBorderDxfId="62">
  <autoFilter ref="A4:O26" xr:uid="{26EDCEED-222A-433E-B738-23F75ED66791}"/>
  <tableColumns count="15">
    <tableColumn id="1" xr3:uid="{632CA4CE-23F6-4358-AF19-22F7DDA61DC3}" name="Listing_x000a_ ID" dataDxfId="61"/>
    <tableColumn id="2" xr3:uid="{8B70DD66-B8E1-417B-9A55-6E203B5C1616}" name="Agent_x000a_ ID" dataDxfId="60"/>
    <tableColumn id="3" xr3:uid="{CEC0886B-A96B-4A70-9739-B19B20901788}" name="Address" dataDxfId="59"/>
    <tableColumn id="4" xr3:uid="{17F09650-9185-4741-8FEE-6B0DB9711F37}" name="City" dataDxfId="58"/>
    <tableColumn id="5" xr3:uid="{3A26C25A-56F8-412F-9C66-1727578204B6}" name="Sq Ft" dataDxfId="57"/>
    <tableColumn id="6" xr3:uid="{16512EDA-62AB-46A0-9525-8476ADE76E77}" name="Beds" dataDxfId="56"/>
    <tableColumn id="7" xr3:uid="{3DF2F6AA-E507-4514-855B-8E0F951977B8}" name="Baths" dataDxfId="55"/>
    <tableColumn id="8" xr3:uid="{74B50EAA-60D2-4451-BDD2-A377E7758D50}" name="Garage" dataDxfId="54"/>
    <tableColumn id="9" xr3:uid="{A10C20B2-FB31-4E74-8D73-724CE62EBE7A}" name="Construction" dataDxfId="53"/>
    <tableColumn id="10" xr3:uid="{DA8740BF-431D-48A8-A1CB-A93E54746405}" name="Year _x000a_Built" dataDxfId="52"/>
    <tableColumn id="11" xr3:uid="{2CD9B974-A3B3-462A-B228-DC34585094BC}" name="List Price" dataDxfId="51"/>
    <tableColumn id="12" xr3:uid="{EC857BC6-1062-418A-8CD7-B2F6DF0D632D}" name="Sale Price" dataDxfId="50"/>
    <tableColumn id="13" xr3:uid="{625FAC27-4FA9-4718-9E6C-F66F54F08C04}" name="Listed" dataDxfId="49"/>
    <tableColumn id="14" xr3:uid="{12399997-DB76-45E7-8038-9CC339262531}" name="Sale Date" dataDxfId="48"/>
    <tableColumn id="15" xr3:uid="{8628A15C-628E-41EF-BE39-0D326D28ECF2}" name="Days" dataDxfId="18">
      <calculatedColumnFormula>IF(Table1[[#This Row],[Sale Date]]&gt;Table1[[#This Row],[Listed]],Table1[[#This Row],[Sale Date]]-Table1[[#This Row],[Listed]]," ")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ADC03-F7AA-4C74-B202-1CA95B798470}">
  <dimension ref="A1:N26"/>
  <sheetViews>
    <sheetView topLeftCell="A5" workbookViewId="0">
      <selection activeCell="C5" sqref="C5:C26"/>
    </sheetView>
  </sheetViews>
  <sheetFormatPr defaultRowHeight="14.5" x14ac:dyDescent="0.35"/>
  <cols>
    <col min="1" max="1" width="6.6328125" style="3" customWidth="1"/>
    <col min="2" max="2" width="6.36328125" style="3" customWidth="1"/>
    <col min="3" max="3" width="26.36328125" style="3" customWidth="1"/>
    <col min="4" max="5" width="9.08984375" style="3" customWidth="1"/>
    <col min="6" max="6" width="5.36328125" style="3" customWidth="1"/>
    <col min="7" max="7" width="5.90625" style="3" customWidth="1"/>
    <col min="8" max="8" width="14.36328125" style="3" customWidth="1"/>
    <col min="9" max="9" width="12.36328125" style="3" customWidth="1"/>
    <col min="10" max="10" width="5.08984375" style="3" customWidth="1"/>
    <col min="11" max="11" width="11.08984375" style="3" customWidth="1"/>
    <col min="12" max="12" width="10.08984375" style="3" customWidth="1"/>
    <col min="13" max="13" width="10.453125" style="3" customWidth="1"/>
    <col min="14" max="14" width="9.6328125" style="3" customWidth="1"/>
  </cols>
  <sheetData>
    <row r="1" spans="1:14" ht="26" x14ac:dyDescent="0.6">
      <c r="A1" s="4" t="s">
        <v>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26" x14ac:dyDescent="0.6">
      <c r="A2" s="4" t="s">
        <v>36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18" customHeight="1" x14ac:dyDescent="0.6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ht="29" x14ac:dyDescent="0.35">
      <c r="A4" s="7" t="s">
        <v>37</v>
      </c>
      <c r="B4" s="7" t="s">
        <v>38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7" t="s">
        <v>11</v>
      </c>
      <c r="K4" s="6" t="s">
        <v>3</v>
      </c>
      <c r="L4" s="6" t="s">
        <v>0</v>
      </c>
      <c r="M4" s="6" t="s">
        <v>2</v>
      </c>
      <c r="N4" s="7" t="s">
        <v>12</v>
      </c>
    </row>
    <row r="5" spans="1:14" ht="20.149999999999999" customHeight="1" x14ac:dyDescent="0.35">
      <c r="A5" s="8">
        <v>10025</v>
      </c>
      <c r="B5" s="8">
        <v>160</v>
      </c>
      <c r="C5" s="8" t="s">
        <v>13</v>
      </c>
      <c r="D5" s="8" t="s">
        <v>14</v>
      </c>
      <c r="E5" s="8">
        <v>1900</v>
      </c>
      <c r="F5" s="8">
        <v>4</v>
      </c>
      <c r="G5" s="8">
        <v>3</v>
      </c>
      <c r="H5" s="8" t="s">
        <v>15</v>
      </c>
      <c r="I5" s="8" t="s">
        <v>16</v>
      </c>
      <c r="J5" s="8">
        <v>1988</v>
      </c>
      <c r="K5" s="9">
        <v>715000</v>
      </c>
      <c r="L5" s="9">
        <v>702500</v>
      </c>
      <c r="M5" s="10">
        <v>46023</v>
      </c>
      <c r="N5" s="10">
        <v>46068</v>
      </c>
    </row>
    <row r="6" spans="1:14" ht="20.149999999999999" customHeight="1" x14ac:dyDescent="0.35">
      <c r="A6" s="8">
        <v>10027</v>
      </c>
      <c r="B6" s="8">
        <v>127</v>
      </c>
      <c r="C6" s="8" t="s">
        <v>17</v>
      </c>
      <c r="D6" s="8" t="s">
        <v>18</v>
      </c>
      <c r="E6" s="8">
        <v>1184</v>
      </c>
      <c r="F6" s="8">
        <v>3</v>
      </c>
      <c r="G6" s="8">
        <v>2</v>
      </c>
      <c r="H6" s="8" t="s">
        <v>19</v>
      </c>
      <c r="I6" s="8" t="s">
        <v>20</v>
      </c>
      <c r="J6" s="8">
        <v>1998</v>
      </c>
      <c r="K6" s="9">
        <v>335000</v>
      </c>
      <c r="L6" s="9">
        <v>345000</v>
      </c>
      <c r="M6" s="10">
        <v>46025</v>
      </c>
      <c r="N6" s="10">
        <v>46070</v>
      </c>
    </row>
    <row r="7" spans="1:14" ht="20.149999999999999" customHeight="1" x14ac:dyDescent="0.35">
      <c r="A7" s="8">
        <v>10033</v>
      </c>
      <c r="B7" s="8">
        <v>103</v>
      </c>
      <c r="C7" s="8" t="s">
        <v>21</v>
      </c>
      <c r="D7" s="8" t="s">
        <v>14</v>
      </c>
      <c r="E7" s="8">
        <v>1840</v>
      </c>
      <c r="F7" s="8">
        <v>2</v>
      </c>
      <c r="G7" s="8">
        <v>2</v>
      </c>
      <c r="H7" s="8" t="s">
        <v>22</v>
      </c>
      <c r="I7" s="8" t="s">
        <v>16</v>
      </c>
      <c r="J7" s="8">
        <v>1999</v>
      </c>
      <c r="K7" s="9">
        <v>334500</v>
      </c>
      <c r="L7" s="9">
        <v>327000</v>
      </c>
      <c r="M7" s="10">
        <v>46027</v>
      </c>
      <c r="N7" s="10">
        <v>46072</v>
      </c>
    </row>
    <row r="8" spans="1:14" ht="20.149999999999999" customHeight="1" x14ac:dyDescent="0.35">
      <c r="A8" s="8">
        <v>10042</v>
      </c>
      <c r="B8" s="8">
        <v>168</v>
      </c>
      <c r="C8" s="8" t="s">
        <v>23</v>
      </c>
      <c r="D8" s="8" t="s">
        <v>24</v>
      </c>
      <c r="E8" s="8">
        <v>1905</v>
      </c>
      <c r="F8" s="8">
        <v>3</v>
      </c>
      <c r="G8" s="8">
        <v>2</v>
      </c>
      <c r="H8" s="8" t="s">
        <v>25</v>
      </c>
      <c r="I8" s="8" t="s">
        <v>26</v>
      </c>
      <c r="J8" s="8">
        <v>1940</v>
      </c>
      <c r="K8" s="9">
        <v>385000</v>
      </c>
      <c r="L8" s="9">
        <v>385000</v>
      </c>
      <c r="M8" s="10">
        <v>46029</v>
      </c>
      <c r="N8" s="10">
        <v>46074</v>
      </c>
    </row>
    <row r="9" spans="1:14" ht="20.149999999999999" customHeight="1" x14ac:dyDescent="0.35">
      <c r="A9" s="8">
        <v>10045</v>
      </c>
      <c r="B9" s="8">
        <v>168</v>
      </c>
      <c r="C9" s="8" t="s">
        <v>27</v>
      </c>
      <c r="D9" s="8" t="s">
        <v>24</v>
      </c>
      <c r="E9" s="8">
        <v>2234</v>
      </c>
      <c r="F9" s="8">
        <v>3</v>
      </c>
      <c r="G9" s="8">
        <v>3</v>
      </c>
      <c r="H9" s="8" t="s">
        <v>22</v>
      </c>
      <c r="I9" s="8" t="s">
        <v>26</v>
      </c>
      <c r="J9" s="8">
        <v>1984</v>
      </c>
      <c r="K9" s="9">
        <v>712000</v>
      </c>
      <c r="L9" s="9">
        <v>699999</v>
      </c>
      <c r="M9" s="10">
        <v>46031</v>
      </c>
      <c r="N9" s="10">
        <v>46076</v>
      </c>
    </row>
    <row r="10" spans="1:14" ht="20.149999999999999" customHeight="1" x14ac:dyDescent="0.35">
      <c r="A10" s="8">
        <v>10052</v>
      </c>
      <c r="B10" s="8">
        <v>103</v>
      </c>
      <c r="C10" s="8" t="s">
        <v>28</v>
      </c>
      <c r="D10" s="8" t="s">
        <v>29</v>
      </c>
      <c r="E10" s="8">
        <v>1948</v>
      </c>
      <c r="F10" s="8">
        <v>3</v>
      </c>
      <c r="G10" s="8">
        <v>3</v>
      </c>
      <c r="H10" s="8" t="s">
        <v>15</v>
      </c>
      <c r="I10" s="8" t="s">
        <v>26</v>
      </c>
      <c r="J10" s="8">
        <v>1995</v>
      </c>
      <c r="K10" s="9">
        <v>365000</v>
      </c>
      <c r="L10" s="9">
        <v>380000</v>
      </c>
      <c r="M10" s="10">
        <v>46033</v>
      </c>
      <c r="N10" s="10">
        <v>46078</v>
      </c>
    </row>
    <row r="11" spans="1:14" ht="20.149999999999999" customHeight="1" x14ac:dyDescent="0.35">
      <c r="A11" s="8">
        <v>10054</v>
      </c>
      <c r="B11" s="8">
        <v>168</v>
      </c>
      <c r="C11" s="8" t="s">
        <v>30</v>
      </c>
      <c r="D11" s="8" t="s">
        <v>29</v>
      </c>
      <c r="E11" s="8">
        <v>1571</v>
      </c>
      <c r="F11" s="8">
        <v>2</v>
      </c>
      <c r="G11" s="8">
        <v>1</v>
      </c>
      <c r="H11" s="8" t="s">
        <v>22</v>
      </c>
      <c r="I11" s="8" t="s">
        <v>20</v>
      </c>
      <c r="J11" s="8">
        <v>2002</v>
      </c>
      <c r="K11" s="9">
        <v>615000</v>
      </c>
      <c r="L11" s="9">
        <v>615000</v>
      </c>
      <c r="M11" s="10">
        <v>46035</v>
      </c>
      <c r="N11" s="10">
        <v>46080</v>
      </c>
    </row>
    <row r="12" spans="1:14" ht="20.149999999999999" customHeight="1" x14ac:dyDescent="0.35">
      <c r="A12" s="8">
        <v>10069</v>
      </c>
      <c r="B12" s="8">
        <v>151</v>
      </c>
      <c r="C12" s="8" t="s">
        <v>31</v>
      </c>
      <c r="D12" s="8" t="s">
        <v>24</v>
      </c>
      <c r="E12" s="8">
        <v>1456</v>
      </c>
      <c r="F12" s="8">
        <v>3</v>
      </c>
      <c r="G12" s="8">
        <v>2</v>
      </c>
      <c r="H12" s="8" t="s">
        <v>25</v>
      </c>
      <c r="I12" s="8" t="s">
        <v>16</v>
      </c>
      <c r="J12" s="8">
        <v>1995</v>
      </c>
      <c r="K12" s="9">
        <v>239600</v>
      </c>
      <c r="L12" s="9">
        <v>237000</v>
      </c>
      <c r="M12" s="10">
        <v>46037</v>
      </c>
      <c r="N12" s="10">
        <v>46082</v>
      </c>
    </row>
    <row r="13" spans="1:14" ht="20.149999999999999" customHeight="1" x14ac:dyDescent="0.35">
      <c r="A13" s="8">
        <v>10172</v>
      </c>
      <c r="B13" s="8">
        <v>160</v>
      </c>
      <c r="C13" s="8" t="s">
        <v>32</v>
      </c>
      <c r="D13" s="8" t="s">
        <v>18</v>
      </c>
      <c r="E13" s="8">
        <v>1480</v>
      </c>
      <c r="F13" s="8">
        <v>2</v>
      </c>
      <c r="G13" s="8">
        <v>2</v>
      </c>
      <c r="H13" s="8" t="s">
        <v>33</v>
      </c>
      <c r="I13" s="8" t="s">
        <v>16</v>
      </c>
      <c r="J13" s="8">
        <v>1991</v>
      </c>
      <c r="K13" s="9">
        <v>565000</v>
      </c>
      <c r="L13" s="9">
        <v>550000</v>
      </c>
      <c r="M13" s="10">
        <v>46039</v>
      </c>
      <c r="N13" s="10">
        <v>46084</v>
      </c>
    </row>
    <row r="14" spans="1:14" ht="20.149999999999999" customHeight="1" x14ac:dyDescent="0.35">
      <c r="A14" s="8">
        <v>10175</v>
      </c>
      <c r="B14" s="8">
        <v>168</v>
      </c>
      <c r="C14" s="8" t="s">
        <v>39</v>
      </c>
      <c r="D14" s="8" t="s">
        <v>24</v>
      </c>
      <c r="E14" s="8">
        <v>1850</v>
      </c>
      <c r="F14" s="8">
        <v>3</v>
      </c>
      <c r="G14" s="8">
        <v>3</v>
      </c>
      <c r="H14" s="8" t="s">
        <v>25</v>
      </c>
      <c r="I14" s="8" t="s">
        <v>26</v>
      </c>
      <c r="J14" s="8">
        <v>2006</v>
      </c>
      <c r="K14" s="9">
        <v>589000</v>
      </c>
      <c r="L14" s="9">
        <v>580000</v>
      </c>
      <c r="M14" s="10">
        <v>46041</v>
      </c>
      <c r="N14" s="10">
        <v>46086</v>
      </c>
    </row>
    <row r="15" spans="1:14" ht="20.149999999999999" customHeight="1" x14ac:dyDescent="0.35">
      <c r="A15" s="8">
        <v>10177</v>
      </c>
      <c r="B15" s="8">
        <v>160</v>
      </c>
      <c r="C15" s="8" t="s">
        <v>40</v>
      </c>
      <c r="D15" s="8" t="s">
        <v>18</v>
      </c>
      <c r="E15" s="8">
        <v>1900</v>
      </c>
      <c r="F15" s="8">
        <v>4</v>
      </c>
      <c r="G15" s="8">
        <v>3</v>
      </c>
      <c r="H15" s="8" t="s">
        <v>25</v>
      </c>
      <c r="I15" s="8" t="s">
        <v>20</v>
      </c>
      <c r="J15" s="8">
        <v>2008</v>
      </c>
      <c r="K15" s="9">
        <v>622500</v>
      </c>
      <c r="L15" s="9">
        <v>615000</v>
      </c>
      <c r="M15" s="10">
        <v>46043</v>
      </c>
      <c r="N15" s="10">
        <v>46088</v>
      </c>
    </row>
    <row r="16" spans="1:14" ht="20.149999999999999" customHeight="1" x14ac:dyDescent="0.35">
      <c r="A16" s="8">
        <v>10179</v>
      </c>
      <c r="B16" s="8">
        <v>127</v>
      </c>
      <c r="C16" s="8" t="s">
        <v>41</v>
      </c>
      <c r="D16" s="8" t="s">
        <v>14</v>
      </c>
      <c r="E16" s="8">
        <v>1184</v>
      </c>
      <c r="F16" s="8">
        <v>3</v>
      </c>
      <c r="G16" s="8">
        <v>2</v>
      </c>
      <c r="H16" s="8" t="s">
        <v>22</v>
      </c>
      <c r="I16" s="8" t="s">
        <v>16</v>
      </c>
      <c r="J16" s="8">
        <v>2009</v>
      </c>
      <c r="K16" s="9">
        <v>649000</v>
      </c>
      <c r="L16" s="9">
        <v>650000</v>
      </c>
      <c r="M16" s="10">
        <v>46045</v>
      </c>
      <c r="N16" s="10">
        <v>46090</v>
      </c>
    </row>
    <row r="17" spans="1:14" ht="20.149999999999999" customHeight="1" x14ac:dyDescent="0.35">
      <c r="A17" s="8">
        <v>10181</v>
      </c>
      <c r="B17" s="8">
        <v>103</v>
      </c>
      <c r="C17" s="8" t="s">
        <v>42</v>
      </c>
      <c r="D17" s="8" t="s">
        <v>24</v>
      </c>
      <c r="E17" s="8">
        <v>1840</v>
      </c>
      <c r="F17" s="8">
        <v>2</v>
      </c>
      <c r="G17" s="8">
        <v>2</v>
      </c>
      <c r="H17" s="8" t="s">
        <v>15</v>
      </c>
      <c r="I17" s="8" t="s">
        <v>20</v>
      </c>
      <c r="J17" s="8">
        <v>2011</v>
      </c>
      <c r="K17" s="9">
        <v>650000</v>
      </c>
      <c r="L17" s="9">
        <v>635000</v>
      </c>
      <c r="M17" s="10">
        <v>46047</v>
      </c>
      <c r="N17" s="10">
        <v>46092</v>
      </c>
    </row>
    <row r="18" spans="1:14" ht="20.149999999999999" customHeight="1" x14ac:dyDescent="0.35">
      <c r="A18" s="8">
        <v>10183</v>
      </c>
      <c r="B18" s="8">
        <v>168</v>
      </c>
      <c r="C18" s="8" t="s">
        <v>43</v>
      </c>
      <c r="D18" s="8" t="s">
        <v>24</v>
      </c>
      <c r="E18" s="8">
        <v>1905</v>
      </c>
      <c r="F18" s="8">
        <v>3</v>
      </c>
      <c r="G18" s="8">
        <v>2</v>
      </c>
      <c r="H18" s="8" t="s">
        <v>22</v>
      </c>
      <c r="I18" s="8" t="s">
        <v>26</v>
      </c>
      <c r="J18" s="8">
        <v>2015</v>
      </c>
      <c r="K18" s="9">
        <v>599999</v>
      </c>
      <c r="L18" s="9">
        <v>538000</v>
      </c>
      <c r="M18" s="10">
        <v>46049</v>
      </c>
      <c r="N18" s="10">
        <v>46094</v>
      </c>
    </row>
    <row r="19" spans="1:14" ht="20.149999999999999" customHeight="1" x14ac:dyDescent="0.35">
      <c r="A19" s="8">
        <v>10185</v>
      </c>
      <c r="B19" s="8">
        <v>160</v>
      </c>
      <c r="C19" s="8" t="s">
        <v>44</v>
      </c>
      <c r="D19" s="8" t="s">
        <v>29</v>
      </c>
      <c r="E19" s="8">
        <v>2234</v>
      </c>
      <c r="F19" s="8">
        <v>3</v>
      </c>
      <c r="G19" s="8">
        <v>3</v>
      </c>
      <c r="H19" s="8" t="s">
        <v>25</v>
      </c>
      <c r="I19" s="8" t="s">
        <v>20</v>
      </c>
      <c r="J19" s="8">
        <v>2019</v>
      </c>
      <c r="K19" s="9">
        <v>725000</v>
      </c>
      <c r="L19" s="9">
        <v>705000</v>
      </c>
      <c r="M19" s="10">
        <v>46051</v>
      </c>
      <c r="N19" s="10">
        <v>46096</v>
      </c>
    </row>
    <row r="20" spans="1:14" ht="20.149999999999999" customHeight="1" x14ac:dyDescent="0.35">
      <c r="A20" s="8">
        <v>10187</v>
      </c>
      <c r="B20" s="8">
        <v>127</v>
      </c>
      <c r="C20" s="8" t="s">
        <v>45</v>
      </c>
      <c r="D20" s="8" t="s">
        <v>29</v>
      </c>
      <c r="E20" s="8">
        <v>1948</v>
      </c>
      <c r="F20" s="8">
        <v>3</v>
      </c>
      <c r="G20" s="8">
        <v>3</v>
      </c>
      <c r="H20" s="8" t="s">
        <v>33</v>
      </c>
      <c r="I20" s="8" t="s">
        <v>16</v>
      </c>
      <c r="J20" s="8">
        <v>2018</v>
      </c>
      <c r="K20" s="9">
        <v>585000</v>
      </c>
      <c r="L20" s="9">
        <v>600000</v>
      </c>
      <c r="M20" s="10">
        <v>46053</v>
      </c>
      <c r="N20" s="10">
        <v>46098</v>
      </c>
    </row>
    <row r="21" spans="1:14" ht="20.149999999999999" customHeight="1" x14ac:dyDescent="0.35">
      <c r="A21" s="8">
        <v>10189</v>
      </c>
      <c r="B21" s="8">
        <v>103</v>
      </c>
      <c r="C21" s="8" t="s">
        <v>46</v>
      </c>
      <c r="D21" s="8" t="s">
        <v>24</v>
      </c>
      <c r="E21" s="8">
        <v>1571</v>
      </c>
      <c r="F21" s="8">
        <v>2</v>
      </c>
      <c r="G21" s="8">
        <v>1</v>
      </c>
      <c r="H21" s="8" t="s">
        <v>25</v>
      </c>
      <c r="I21" s="8" t="s">
        <v>26</v>
      </c>
      <c r="J21" s="8">
        <v>1989</v>
      </c>
      <c r="K21" s="9">
        <v>355000</v>
      </c>
      <c r="L21" s="9">
        <v>355000</v>
      </c>
      <c r="M21" s="10">
        <v>46055</v>
      </c>
      <c r="N21" s="10">
        <v>46100</v>
      </c>
    </row>
    <row r="22" spans="1:14" ht="20.149999999999999" customHeight="1" x14ac:dyDescent="0.35">
      <c r="A22" s="8">
        <v>10191</v>
      </c>
      <c r="B22" s="8">
        <v>103</v>
      </c>
      <c r="C22" s="8" t="s">
        <v>47</v>
      </c>
      <c r="D22" s="8" t="s">
        <v>18</v>
      </c>
      <c r="E22" s="8">
        <v>1456</v>
      </c>
      <c r="F22" s="8">
        <v>3</v>
      </c>
      <c r="G22" s="8">
        <v>2</v>
      </c>
      <c r="H22" s="8" t="s">
        <v>22</v>
      </c>
      <c r="I22" s="8" t="s">
        <v>16</v>
      </c>
      <c r="J22" s="8">
        <v>1990</v>
      </c>
      <c r="K22" s="9">
        <v>615000</v>
      </c>
      <c r="L22" s="9">
        <v>615000</v>
      </c>
      <c r="M22" s="10">
        <v>46057</v>
      </c>
      <c r="N22" s="10">
        <v>46102</v>
      </c>
    </row>
    <row r="23" spans="1:14" ht="20.149999999999999" customHeight="1" x14ac:dyDescent="0.35">
      <c r="A23" s="8">
        <v>10193</v>
      </c>
      <c r="B23" s="8">
        <v>127</v>
      </c>
      <c r="C23" s="8" t="s">
        <v>48</v>
      </c>
      <c r="D23" s="8" t="s">
        <v>14</v>
      </c>
      <c r="E23" s="8">
        <v>1480</v>
      </c>
      <c r="F23" s="8">
        <v>2</v>
      </c>
      <c r="G23" s="8">
        <v>2</v>
      </c>
      <c r="H23" s="8" t="s">
        <v>19</v>
      </c>
      <c r="I23" s="8" t="s">
        <v>16</v>
      </c>
      <c r="J23" s="8">
        <v>1975</v>
      </c>
      <c r="K23" s="9">
        <v>550000</v>
      </c>
      <c r="L23" s="9">
        <v>545000</v>
      </c>
      <c r="M23" s="10">
        <v>46059</v>
      </c>
      <c r="N23" s="10">
        <v>46104</v>
      </c>
    </row>
    <row r="24" spans="1:14" ht="20.149999999999999" customHeight="1" x14ac:dyDescent="0.35">
      <c r="A24" s="8">
        <v>10195</v>
      </c>
      <c r="B24" s="8">
        <v>160</v>
      </c>
      <c r="C24" s="8" t="s">
        <v>49</v>
      </c>
      <c r="D24" s="8" t="s">
        <v>24</v>
      </c>
      <c r="E24" s="8">
        <v>1850</v>
      </c>
      <c r="F24" s="8">
        <v>3</v>
      </c>
      <c r="G24" s="8">
        <v>3</v>
      </c>
      <c r="H24" s="8" t="s">
        <v>22</v>
      </c>
      <c r="I24" s="8" t="s">
        <v>26</v>
      </c>
      <c r="J24" s="8">
        <v>2005</v>
      </c>
      <c r="K24" s="9">
        <v>585000</v>
      </c>
      <c r="L24" s="9">
        <v>595000</v>
      </c>
      <c r="M24" s="10">
        <v>46061</v>
      </c>
      <c r="N24" s="10">
        <v>46106</v>
      </c>
    </row>
    <row r="25" spans="1:14" ht="20.149999999999999" customHeight="1" x14ac:dyDescent="0.35">
      <c r="A25" s="8">
        <v>10197</v>
      </c>
      <c r="B25" s="8">
        <v>151</v>
      </c>
      <c r="C25" s="8" t="s">
        <v>50</v>
      </c>
      <c r="D25" s="8" t="s">
        <v>29</v>
      </c>
      <c r="E25" s="8">
        <v>2200</v>
      </c>
      <c r="F25" s="8">
        <v>4</v>
      </c>
      <c r="G25" s="8">
        <v>4</v>
      </c>
      <c r="H25" s="8" t="s">
        <v>33</v>
      </c>
      <c r="I25" s="8" t="s">
        <v>26</v>
      </c>
      <c r="J25" s="8">
        <v>2015</v>
      </c>
      <c r="K25" s="9">
        <v>650000</v>
      </c>
      <c r="L25" s="9">
        <v>636000</v>
      </c>
      <c r="M25" s="10">
        <v>46063</v>
      </c>
      <c r="N25" s="10">
        <v>46108</v>
      </c>
    </row>
    <row r="26" spans="1:14" ht="20.149999999999999" customHeight="1" x14ac:dyDescent="0.35">
      <c r="A26" s="8">
        <v>10199</v>
      </c>
      <c r="B26" s="8">
        <v>151</v>
      </c>
      <c r="C26" s="8" t="s">
        <v>51</v>
      </c>
      <c r="D26" s="8" t="s">
        <v>29</v>
      </c>
      <c r="E26" s="8">
        <v>1950</v>
      </c>
      <c r="F26" s="8">
        <v>3</v>
      </c>
      <c r="G26" s="8">
        <v>3</v>
      </c>
      <c r="H26" s="8" t="s">
        <v>22</v>
      </c>
      <c r="I26" s="8" t="s">
        <v>20</v>
      </c>
      <c r="J26" s="8">
        <v>2007</v>
      </c>
      <c r="K26" s="9">
        <v>625000</v>
      </c>
      <c r="L26" s="9">
        <v>619000</v>
      </c>
      <c r="M26" s="10">
        <v>46065</v>
      </c>
      <c r="N26" s="10">
        <v>46110</v>
      </c>
    </row>
  </sheetData>
  <conditionalFormatting sqref="A5:A26">
    <cfRule type="expression" dxfId="33" priority="2">
      <formula>$I5="frame"</formula>
    </cfRule>
  </conditionalFormatting>
  <conditionalFormatting sqref="C5:C26">
    <cfRule type="expression" dxfId="30" priority="1">
      <formula>$I5="frame"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31CD8-45CD-4D3F-8237-B8AD6D7BF9F2}">
  <dimension ref="A1:I26"/>
  <sheetViews>
    <sheetView tabSelected="1" workbookViewId="0">
      <selection activeCell="D4" sqref="D4"/>
    </sheetView>
  </sheetViews>
  <sheetFormatPr defaultRowHeight="14.5" x14ac:dyDescent="0.35"/>
  <cols>
    <col min="1" max="1" width="12.453125" style="3" bestFit="1" customWidth="1"/>
    <col min="2" max="2" width="10.90625" style="3" bestFit="1" customWidth="1"/>
    <col min="3" max="3" width="11.36328125" style="3" bestFit="1" customWidth="1"/>
    <col min="4" max="5" width="7.81640625" style="3" bestFit="1" customWidth="1"/>
    <col min="6" max="6" width="10.36328125" style="3" bestFit="1" customWidth="1"/>
    <col min="7" max="7" width="10.90625" style="3" bestFit="1" customWidth="1"/>
    <col min="8" max="8" width="10.90625" bestFit="1" customWidth="1"/>
    <col min="9" max="9" width="9.6328125" bestFit="1" customWidth="1"/>
  </cols>
  <sheetData>
    <row r="1" spans="1:9" ht="26" x14ac:dyDescent="0.6">
      <c r="A1" s="18" t="s">
        <v>1</v>
      </c>
    </row>
    <row r="2" spans="1:9" ht="26" x14ac:dyDescent="0.6">
      <c r="A2" s="18" t="s">
        <v>52</v>
      </c>
    </row>
    <row r="3" spans="1:9" x14ac:dyDescent="0.35">
      <c r="A3" s="19" t="s">
        <v>34</v>
      </c>
      <c r="B3" s="1" t="s">
        <v>53</v>
      </c>
      <c r="C3" s="1" t="s">
        <v>58</v>
      </c>
      <c r="D3"/>
      <c r="E3"/>
      <c r="F3" s="19" t="s">
        <v>54</v>
      </c>
      <c r="G3" s="1" t="s">
        <v>55</v>
      </c>
      <c r="H3" s="1" t="s">
        <v>56</v>
      </c>
      <c r="I3" s="1" t="s">
        <v>59</v>
      </c>
    </row>
    <row r="4" spans="1:9" x14ac:dyDescent="0.35">
      <c r="A4" s="20">
        <v>103</v>
      </c>
      <c r="B4" s="2">
        <v>2312000</v>
      </c>
      <c r="C4" s="2">
        <v>462400</v>
      </c>
      <c r="D4"/>
      <c r="E4"/>
      <c r="F4" s="21">
        <v>10025</v>
      </c>
      <c r="G4" s="2">
        <v>702500</v>
      </c>
      <c r="H4" s="2">
        <v>715000</v>
      </c>
      <c r="I4" s="28">
        <v>12500</v>
      </c>
    </row>
    <row r="5" spans="1:9" x14ac:dyDescent="0.35">
      <c r="A5" s="20">
        <v>127</v>
      </c>
      <c r="B5" s="2">
        <v>2140000</v>
      </c>
      <c r="C5" s="2">
        <v>535000</v>
      </c>
      <c r="D5"/>
      <c r="E5"/>
      <c r="F5" s="21">
        <v>10027</v>
      </c>
      <c r="G5" s="2">
        <v>345000</v>
      </c>
      <c r="H5" s="2">
        <v>335000</v>
      </c>
      <c r="I5" s="28">
        <v>-10000</v>
      </c>
    </row>
    <row r="6" spans="1:9" x14ac:dyDescent="0.35">
      <c r="A6" s="20">
        <v>151</v>
      </c>
      <c r="B6" s="2">
        <v>1492000</v>
      </c>
      <c r="C6" s="2">
        <v>497333.33333333331</v>
      </c>
      <c r="D6"/>
      <c r="E6"/>
      <c r="F6" s="21">
        <v>10033</v>
      </c>
      <c r="G6" s="2">
        <v>327000</v>
      </c>
      <c r="H6" s="2">
        <v>334500</v>
      </c>
      <c r="I6" s="28">
        <v>7500</v>
      </c>
    </row>
    <row r="7" spans="1:9" x14ac:dyDescent="0.35">
      <c r="A7" s="20">
        <v>160</v>
      </c>
      <c r="B7" s="2">
        <v>3167500</v>
      </c>
      <c r="C7" s="2">
        <v>633500</v>
      </c>
      <c r="D7"/>
      <c r="E7"/>
      <c r="F7" s="21">
        <v>10042</v>
      </c>
      <c r="G7" s="2">
        <v>385000</v>
      </c>
      <c r="H7" s="2">
        <v>385000</v>
      </c>
      <c r="I7" s="28">
        <v>0</v>
      </c>
    </row>
    <row r="8" spans="1:9" x14ac:dyDescent="0.35">
      <c r="A8" s="20">
        <v>168</v>
      </c>
      <c r="B8" s="2">
        <v>2817999</v>
      </c>
      <c r="C8" s="2">
        <v>563599.80000000005</v>
      </c>
      <c r="D8"/>
      <c r="E8"/>
      <c r="F8" s="21">
        <v>10045</v>
      </c>
      <c r="G8" s="2">
        <v>699999</v>
      </c>
      <c r="H8" s="2">
        <v>712000</v>
      </c>
      <c r="I8" s="28">
        <v>12001</v>
      </c>
    </row>
    <row r="9" spans="1:9" x14ac:dyDescent="0.35">
      <c r="A9" s="20" t="s">
        <v>35</v>
      </c>
      <c r="B9" s="2">
        <v>11929499</v>
      </c>
      <c r="C9" s="2">
        <v>542249.95454545459</v>
      </c>
      <c r="D9"/>
      <c r="E9"/>
      <c r="F9" s="21">
        <v>10052</v>
      </c>
      <c r="G9" s="2">
        <v>380000</v>
      </c>
      <c r="H9" s="2">
        <v>365000</v>
      </c>
      <c r="I9" s="28">
        <v>-15000</v>
      </c>
    </row>
    <row r="10" spans="1:9" x14ac:dyDescent="0.35">
      <c r="F10" s="21">
        <v>10054</v>
      </c>
      <c r="G10" s="2">
        <v>615000</v>
      </c>
      <c r="H10" s="2">
        <v>615000</v>
      </c>
      <c r="I10" s="28">
        <v>0</v>
      </c>
    </row>
    <row r="11" spans="1:9" x14ac:dyDescent="0.35">
      <c r="F11" s="21">
        <v>10069</v>
      </c>
      <c r="G11" s="2">
        <v>237000</v>
      </c>
      <c r="H11" s="2">
        <v>239600</v>
      </c>
      <c r="I11" s="28">
        <v>2600</v>
      </c>
    </row>
    <row r="12" spans="1:9" x14ac:dyDescent="0.35">
      <c r="F12" s="21">
        <v>10172</v>
      </c>
      <c r="G12" s="2">
        <v>550000</v>
      </c>
      <c r="H12" s="2">
        <v>565000</v>
      </c>
      <c r="I12" s="28">
        <v>15000</v>
      </c>
    </row>
    <row r="13" spans="1:9" x14ac:dyDescent="0.35">
      <c r="F13" s="21">
        <v>10175</v>
      </c>
      <c r="G13" s="2">
        <v>580000</v>
      </c>
      <c r="H13" s="2">
        <v>589000</v>
      </c>
      <c r="I13" s="28">
        <v>9000</v>
      </c>
    </row>
    <row r="14" spans="1:9" x14ac:dyDescent="0.35">
      <c r="F14" s="21">
        <v>10177</v>
      </c>
      <c r="G14" s="2">
        <v>615000</v>
      </c>
      <c r="H14" s="2">
        <v>622500</v>
      </c>
      <c r="I14" s="28">
        <v>7500</v>
      </c>
    </row>
    <row r="15" spans="1:9" x14ac:dyDescent="0.35">
      <c r="F15" s="21">
        <v>10179</v>
      </c>
      <c r="G15" s="2">
        <v>650000</v>
      </c>
      <c r="H15" s="2">
        <v>649000</v>
      </c>
      <c r="I15" s="28">
        <v>-1000</v>
      </c>
    </row>
    <row r="16" spans="1:9" x14ac:dyDescent="0.35">
      <c r="F16" s="21">
        <v>10181</v>
      </c>
      <c r="G16" s="2">
        <v>635000</v>
      </c>
      <c r="H16" s="2">
        <v>650000</v>
      </c>
      <c r="I16" s="28">
        <v>15000</v>
      </c>
    </row>
    <row r="17" spans="6:9" x14ac:dyDescent="0.35">
      <c r="F17" s="21">
        <v>10183</v>
      </c>
      <c r="G17" s="2">
        <v>538000</v>
      </c>
      <c r="H17" s="2">
        <v>599999</v>
      </c>
      <c r="I17" s="28">
        <v>61999</v>
      </c>
    </row>
    <row r="18" spans="6:9" x14ac:dyDescent="0.35">
      <c r="F18" s="21">
        <v>10185</v>
      </c>
      <c r="G18" s="2">
        <v>705000</v>
      </c>
      <c r="H18" s="2">
        <v>725000</v>
      </c>
      <c r="I18" s="28">
        <v>20000</v>
      </c>
    </row>
    <row r="19" spans="6:9" x14ac:dyDescent="0.35">
      <c r="F19" s="21">
        <v>10187</v>
      </c>
      <c r="G19" s="2">
        <v>600000</v>
      </c>
      <c r="H19" s="2">
        <v>585000</v>
      </c>
      <c r="I19" s="28">
        <v>-15000</v>
      </c>
    </row>
    <row r="20" spans="6:9" x14ac:dyDescent="0.35">
      <c r="F20" s="21">
        <v>10189</v>
      </c>
      <c r="G20" s="2">
        <v>355000</v>
      </c>
      <c r="H20" s="2">
        <v>355000</v>
      </c>
      <c r="I20" s="28">
        <v>0</v>
      </c>
    </row>
    <row r="21" spans="6:9" x14ac:dyDescent="0.35">
      <c r="F21" s="21">
        <v>10191</v>
      </c>
      <c r="G21" s="2">
        <v>615000</v>
      </c>
      <c r="H21" s="2">
        <v>615000</v>
      </c>
      <c r="I21" s="28">
        <v>0</v>
      </c>
    </row>
    <row r="22" spans="6:9" x14ac:dyDescent="0.35">
      <c r="F22" s="21">
        <v>10193</v>
      </c>
      <c r="G22" s="2">
        <v>545000</v>
      </c>
      <c r="H22" s="2">
        <v>550000</v>
      </c>
      <c r="I22" s="28">
        <v>5000</v>
      </c>
    </row>
    <row r="23" spans="6:9" x14ac:dyDescent="0.35">
      <c r="F23" s="21">
        <v>10195</v>
      </c>
      <c r="G23" s="2">
        <v>595000</v>
      </c>
      <c r="H23" s="2">
        <v>585000</v>
      </c>
      <c r="I23" s="28">
        <v>-10000</v>
      </c>
    </row>
    <row r="24" spans="6:9" x14ac:dyDescent="0.35">
      <c r="F24" s="21">
        <v>10197</v>
      </c>
      <c r="G24" s="2">
        <v>636000</v>
      </c>
      <c r="H24" s="2">
        <v>650000</v>
      </c>
      <c r="I24" s="28">
        <v>14000</v>
      </c>
    </row>
    <row r="25" spans="6:9" x14ac:dyDescent="0.35">
      <c r="F25" s="21">
        <v>10199</v>
      </c>
      <c r="G25" s="2">
        <v>619000</v>
      </c>
      <c r="H25" s="2">
        <v>625000</v>
      </c>
      <c r="I25" s="28">
        <v>6000</v>
      </c>
    </row>
    <row r="26" spans="6:9" x14ac:dyDescent="0.35">
      <c r="F26" s="21" t="s">
        <v>35</v>
      </c>
      <c r="G26" s="2">
        <v>11929499</v>
      </c>
      <c r="H26" s="2">
        <v>12066599</v>
      </c>
      <c r="I26" s="28">
        <v>137100</v>
      </c>
    </row>
  </sheetData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E29FC-91EE-4513-9D49-C818509D1D74}">
  <sheetPr>
    <tabColor theme="7" tint="-0.249977111117893"/>
  </sheetPr>
  <dimension ref="A1:O26"/>
  <sheetViews>
    <sheetView topLeftCell="A4" workbookViewId="0">
      <selection activeCell="R24" sqref="R24"/>
    </sheetView>
  </sheetViews>
  <sheetFormatPr defaultRowHeight="14.5" x14ac:dyDescent="0.35"/>
  <cols>
    <col min="1" max="1" width="8.453125" style="3" customWidth="1"/>
    <col min="2" max="2" width="7.453125" style="3" customWidth="1"/>
    <col min="3" max="3" width="26.36328125" style="3" customWidth="1"/>
    <col min="4" max="5" width="9.08984375" style="3" customWidth="1"/>
    <col min="6" max="6" width="7.453125" style="3" customWidth="1"/>
    <col min="7" max="7" width="8" style="3" customWidth="1"/>
    <col min="8" max="8" width="14.36328125" style="3" customWidth="1"/>
    <col min="9" max="9" width="14.453125" style="3" customWidth="1"/>
    <col min="10" max="10" width="5.08984375" style="3" customWidth="1"/>
    <col min="11" max="11" width="11.08984375" style="3" customWidth="1"/>
    <col min="12" max="12" width="11.6328125" style="3" customWidth="1"/>
    <col min="13" max="13" width="10.453125" style="3" customWidth="1"/>
    <col min="14" max="14" width="11.453125" style="3" customWidth="1"/>
  </cols>
  <sheetData>
    <row r="1" spans="1:15" ht="26" x14ac:dyDescent="0.6">
      <c r="A1" s="4" t="s">
        <v>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5" ht="26" x14ac:dyDescent="0.6">
      <c r="A2" s="4" t="s">
        <v>36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5" ht="18.75" customHeight="1" x14ac:dyDescent="0.6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5" ht="29" x14ac:dyDescent="0.35">
      <c r="A4" s="23" t="s">
        <v>37</v>
      </c>
      <c r="B4" s="24" t="s">
        <v>38</v>
      </c>
      <c r="C4" s="25" t="s">
        <v>4</v>
      </c>
      <c r="D4" s="25" t="s">
        <v>5</v>
      </c>
      <c r="E4" s="25" t="s">
        <v>6</v>
      </c>
      <c r="F4" s="25" t="s">
        <v>7</v>
      </c>
      <c r="G4" s="25" t="s">
        <v>8</v>
      </c>
      <c r="H4" s="25" t="s">
        <v>9</v>
      </c>
      <c r="I4" s="25" t="s">
        <v>10</v>
      </c>
      <c r="J4" s="24" t="s">
        <v>11</v>
      </c>
      <c r="K4" s="25" t="s">
        <v>3</v>
      </c>
      <c r="L4" s="25" t="s">
        <v>0</v>
      </c>
      <c r="M4" s="25" t="s">
        <v>2</v>
      </c>
      <c r="N4" s="26" t="s">
        <v>12</v>
      </c>
      <c r="O4" s="27" t="s">
        <v>57</v>
      </c>
    </row>
    <row r="5" spans="1:15" ht="20.149999999999999" customHeight="1" x14ac:dyDescent="0.35">
      <c r="A5" s="11">
        <v>10025</v>
      </c>
      <c r="B5" s="8">
        <v>160</v>
      </c>
      <c r="C5" s="8" t="s">
        <v>13</v>
      </c>
      <c r="D5" s="8" t="s">
        <v>14</v>
      </c>
      <c r="E5" s="8">
        <v>1900</v>
      </c>
      <c r="F5" s="8">
        <v>4</v>
      </c>
      <c r="G5" s="8">
        <v>3</v>
      </c>
      <c r="H5" s="8" t="s">
        <v>15</v>
      </c>
      <c r="I5" s="8" t="s">
        <v>16</v>
      </c>
      <c r="J5" s="8">
        <v>1988</v>
      </c>
      <c r="K5" s="9">
        <v>715000</v>
      </c>
      <c r="L5" s="9">
        <v>702500</v>
      </c>
      <c r="M5" s="10">
        <v>46023</v>
      </c>
      <c r="N5" s="12">
        <v>46068</v>
      </c>
      <c r="O5" s="22">
        <f>IF(Table1[[#This Row],[Sale Date]]&gt;Table1[[#This Row],[Listed]],Table1[[#This Row],[Sale Date]]-Table1[[#This Row],[Listed]]," ")</f>
        <v>45</v>
      </c>
    </row>
    <row r="6" spans="1:15" ht="20.149999999999999" customHeight="1" x14ac:dyDescent="0.35">
      <c r="A6" s="11">
        <v>10027</v>
      </c>
      <c r="B6" s="8">
        <v>127</v>
      </c>
      <c r="C6" s="8" t="s">
        <v>17</v>
      </c>
      <c r="D6" s="8" t="s">
        <v>18</v>
      </c>
      <c r="E6" s="8">
        <v>1184</v>
      </c>
      <c r="F6" s="8">
        <v>3</v>
      </c>
      <c r="G6" s="8">
        <v>2</v>
      </c>
      <c r="H6" s="8" t="s">
        <v>19</v>
      </c>
      <c r="I6" s="8" t="s">
        <v>20</v>
      </c>
      <c r="J6" s="8">
        <v>1998</v>
      </c>
      <c r="K6" s="9">
        <v>335000</v>
      </c>
      <c r="L6" s="9">
        <v>345000</v>
      </c>
      <c r="M6" s="10">
        <v>46025</v>
      </c>
      <c r="N6" s="12">
        <v>46070</v>
      </c>
      <c r="O6" s="22">
        <f>IF(Table1[[#This Row],[Sale Date]]&gt;Table1[[#This Row],[Listed]],Table1[[#This Row],[Sale Date]]-Table1[[#This Row],[Listed]]," ")</f>
        <v>45</v>
      </c>
    </row>
    <row r="7" spans="1:15" ht="20.149999999999999" customHeight="1" x14ac:dyDescent="0.35">
      <c r="A7" s="11">
        <v>10033</v>
      </c>
      <c r="B7" s="8">
        <v>103</v>
      </c>
      <c r="C7" s="8" t="s">
        <v>21</v>
      </c>
      <c r="D7" s="8" t="s">
        <v>14</v>
      </c>
      <c r="E7" s="8">
        <v>1840</v>
      </c>
      <c r="F7" s="8">
        <v>2</v>
      </c>
      <c r="G7" s="8">
        <v>2</v>
      </c>
      <c r="H7" s="8" t="s">
        <v>22</v>
      </c>
      <c r="I7" s="8" t="s">
        <v>16</v>
      </c>
      <c r="J7" s="8">
        <v>1999</v>
      </c>
      <c r="K7" s="9">
        <v>334500</v>
      </c>
      <c r="L7" s="9">
        <v>327000</v>
      </c>
      <c r="M7" s="10">
        <v>46027</v>
      </c>
      <c r="N7" s="12">
        <v>46072</v>
      </c>
      <c r="O7" s="22">
        <f>IF(Table1[[#This Row],[Sale Date]]&gt;Table1[[#This Row],[Listed]],Table1[[#This Row],[Sale Date]]-Table1[[#This Row],[Listed]]," ")</f>
        <v>45</v>
      </c>
    </row>
    <row r="8" spans="1:15" ht="20.149999999999999" customHeight="1" x14ac:dyDescent="0.35">
      <c r="A8" s="11">
        <v>10042</v>
      </c>
      <c r="B8" s="8">
        <v>168</v>
      </c>
      <c r="C8" s="8" t="s">
        <v>23</v>
      </c>
      <c r="D8" s="8" t="s">
        <v>24</v>
      </c>
      <c r="E8" s="8">
        <v>1905</v>
      </c>
      <c r="F8" s="8">
        <v>3</v>
      </c>
      <c r="G8" s="8">
        <v>2</v>
      </c>
      <c r="H8" s="8" t="s">
        <v>25</v>
      </c>
      <c r="I8" s="8" t="s">
        <v>26</v>
      </c>
      <c r="J8" s="8">
        <v>1940</v>
      </c>
      <c r="K8" s="9">
        <v>385000</v>
      </c>
      <c r="L8" s="9">
        <v>385000</v>
      </c>
      <c r="M8" s="10">
        <v>46029</v>
      </c>
      <c r="N8" s="12">
        <v>46074</v>
      </c>
      <c r="O8" s="22">
        <f>IF(Table1[[#This Row],[Sale Date]]&gt;Table1[[#This Row],[Listed]],Table1[[#This Row],[Sale Date]]-Table1[[#This Row],[Listed]]," ")</f>
        <v>45</v>
      </c>
    </row>
    <row r="9" spans="1:15" ht="20.149999999999999" customHeight="1" x14ac:dyDescent="0.35">
      <c r="A9" s="11">
        <v>10045</v>
      </c>
      <c r="B9" s="8">
        <v>168</v>
      </c>
      <c r="C9" s="8" t="s">
        <v>27</v>
      </c>
      <c r="D9" s="8" t="s">
        <v>24</v>
      </c>
      <c r="E9" s="8">
        <v>2234</v>
      </c>
      <c r="F9" s="8">
        <v>3</v>
      </c>
      <c r="G9" s="8">
        <v>3</v>
      </c>
      <c r="H9" s="8" t="s">
        <v>22</v>
      </c>
      <c r="I9" s="8" t="s">
        <v>26</v>
      </c>
      <c r="J9" s="8">
        <v>1984</v>
      </c>
      <c r="K9" s="9">
        <v>712000</v>
      </c>
      <c r="L9" s="9">
        <v>699999</v>
      </c>
      <c r="M9" s="10">
        <v>46031</v>
      </c>
      <c r="N9" s="12">
        <v>46076</v>
      </c>
      <c r="O9" s="22">
        <f>IF(Table1[[#This Row],[Sale Date]]&gt;Table1[[#This Row],[Listed]],Table1[[#This Row],[Sale Date]]-Table1[[#This Row],[Listed]]," ")</f>
        <v>45</v>
      </c>
    </row>
    <row r="10" spans="1:15" ht="20.149999999999999" customHeight="1" x14ac:dyDescent="0.35">
      <c r="A10" s="11">
        <v>10052</v>
      </c>
      <c r="B10" s="8">
        <v>103</v>
      </c>
      <c r="C10" s="8" t="s">
        <v>28</v>
      </c>
      <c r="D10" s="8" t="s">
        <v>29</v>
      </c>
      <c r="E10" s="8">
        <v>1948</v>
      </c>
      <c r="F10" s="8">
        <v>3</v>
      </c>
      <c r="G10" s="8">
        <v>3</v>
      </c>
      <c r="H10" s="8" t="s">
        <v>15</v>
      </c>
      <c r="I10" s="8" t="s">
        <v>26</v>
      </c>
      <c r="J10" s="8">
        <v>1995</v>
      </c>
      <c r="K10" s="9">
        <v>365000</v>
      </c>
      <c r="L10" s="9">
        <v>380000</v>
      </c>
      <c r="M10" s="10">
        <v>46033</v>
      </c>
      <c r="N10" s="12"/>
      <c r="O10" s="22" t="str">
        <f>IF(Table1[[#This Row],[Sale Date]]&gt;Table1[[#This Row],[Listed]],Table1[[#This Row],[Sale Date]]-Table1[[#This Row],[Listed]]," ")</f>
        <v xml:space="preserve"> </v>
      </c>
    </row>
    <row r="11" spans="1:15" ht="20.149999999999999" customHeight="1" x14ac:dyDescent="0.35">
      <c r="A11" s="11">
        <v>10054</v>
      </c>
      <c r="B11" s="8">
        <v>168</v>
      </c>
      <c r="C11" s="8" t="s">
        <v>30</v>
      </c>
      <c r="D11" s="8" t="s">
        <v>29</v>
      </c>
      <c r="E11" s="8">
        <v>1571</v>
      </c>
      <c r="F11" s="8">
        <v>2</v>
      </c>
      <c r="G11" s="8">
        <v>1</v>
      </c>
      <c r="H11" s="8" t="s">
        <v>22</v>
      </c>
      <c r="I11" s="8" t="s">
        <v>20</v>
      </c>
      <c r="J11" s="8">
        <v>2002</v>
      </c>
      <c r="K11" s="9">
        <v>615000</v>
      </c>
      <c r="L11" s="9">
        <v>615000</v>
      </c>
      <c r="M11" s="10">
        <v>46035</v>
      </c>
      <c r="N11" s="12">
        <v>46080</v>
      </c>
      <c r="O11" s="22">
        <f>IF(Table1[[#This Row],[Sale Date]]&gt;Table1[[#This Row],[Listed]],Table1[[#This Row],[Sale Date]]-Table1[[#This Row],[Listed]]," ")</f>
        <v>45</v>
      </c>
    </row>
    <row r="12" spans="1:15" ht="20.149999999999999" customHeight="1" x14ac:dyDescent="0.35">
      <c r="A12" s="11">
        <v>10069</v>
      </c>
      <c r="B12" s="8">
        <v>151</v>
      </c>
      <c r="C12" s="8" t="s">
        <v>31</v>
      </c>
      <c r="D12" s="8" t="s">
        <v>24</v>
      </c>
      <c r="E12" s="8">
        <v>1456</v>
      </c>
      <c r="F12" s="8">
        <v>3</v>
      </c>
      <c r="G12" s="8">
        <v>2</v>
      </c>
      <c r="H12" s="8" t="s">
        <v>25</v>
      </c>
      <c r="I12" s="8" t="s">
        <v>16</v>
      </c>
      <c r="J12" s="8">
        <v>1995</v>
      </c>
      <c r="K12" s="9">
        <v>239600</v>
      </c>
      <c r="L12" s="9">
        <v>237000</v>
      </c>
      <c r="M12" s="10">
        <v>46037</v>
      </c>
      <c r="N12" s="12">
        <v>46082</v>
      </c>
      <c r="O12" s="22">
        <f>IF(Table1[[#This Row],[Sale Date]]&gt;Table1[[#This Row],[Listed]],Table1[[#This Row],[Sale Date]]-Table1[[#This Row],[Listed]]," ")</f>
        <v>45</v>
      </c>
    </row>
    <row r="13" spans="1:15" ht="20.149999999999999" customHeight="1" x14ac:dyDescent="0.35">
      <c r="A13" s="11">
        <v>10172</v>
      </c>
      <c r="B13" s="8">
        <v>160</v>
      </c>
      <c r="C13" s="8" t="s">
        <v>32</v>
      </c>
      <c r="D13" s="8" t="s">
        <v>18</v>
      </c>
      <c r="E13" s="8">
        <v>1480</v>
      </c>
      <c r="F13" s="8">
        <v>2</v>
      </c>
      <c r="G13" s="8">
        <v>2</v>
      </c>
      <c r="H13" s="8" t="s">
        <v>33</v>
      </c>
      <c r="I13" s="8" t="s">
        <v>16</v>
      </c>
      <c r="J13" s="8">
        <v>1991</v>
      </c>
      <c r="K13" s="9">
        <v>565000</v>
      </c>
      <c r="L13" s="9">
        <v>550000</v>
      </c>
      <c r="M13" s="10">
        <v>46039</v>
      </c>
      <c r="N13" s="12">
        <v>46084</v>
      </c>
      <c r="O13" s="22">
        <f>IF(Table1[[#This Row],[Sale Date]]&gt;Table1[[#This Row],[Listed]],Table1[[#This Row],[Sale Date]]-Table1[[#This Row],[Listed]]," ")</f>
        <v>45</v>
      </c>
    </row>
    <row r="14" spans="1:15" ht="20.149999999999999" customHeight="1" x14ac:dyDescent="0.35">
      <c r="A14" s="11">
        <v>10175</v>
      </c>
      <c r="B14" s="8">
        <v>168</v>
      </c>
      <c r="C14" s="8" t="s">
        <v>39</v>
      </c>
      <c r="D14" s="8" t="s">
        <v>24</v>
      </c>
      <c r="E14" s="8">
        <v>1850</v>
      </c>
      <c r="F14" s="8">
        <v>3</v>
      </c>
      <c r="G14" s="8">
        <v>3</v>
      </c>
      <c r="H14" s="8" t="s">
        <v>25</v>
      </c>
      <c r="I14" s="8" t="s">
        <v>26</v>
      </c>
      <c r="J14" s="8">
        <v>2006</v>
      </c>
      <c r="K14" s="9">
        <v>589000</v>
      </c>
      <c r="L14" s="9">
        <v>580000</v>
      </c>
      <c r="M14" s="10">
        <v>46041</v>
      </c>
      <c r="N14" s="12"/>
      <c r="O14" s="22" t="str">
        <f>IF(Table1[[#This Row],[Sale Date]]&gt;Table1[[#This Row],[Listed]],Table1[[#This Row],[Sale Date]]-Table1[[#This Row],[Listed]]," ")</f>
        <v xml:space="preserve"> </v>
      </c>
    </row>
    <row r="15" spans="1:15" ht="20.149999999999999" customHeight="1" x14ac:dyDescent="0.35">
      <c r="A15" s="11">
        <v>10177</v>
      </c>
      <c r="B15" s="8">
        <v>160</v>
      </c>
      <c r="C15" s="8" t="s">
        <v>40</v>
      </c>
      <c r="D15" s="8" t="s">
        <v>18</v>
      </c>
      <c r="E15" s="8">
        <v>1900</v>
      </c>
      <c r="F15" s="8">
        <v>4</v>
      </c>
      <c r="G15" s="8">
        <v>3</v>
      </c>
      <c r="H15" s="8" t="s">
        <v>25</v>
      </c>
      <c r="I15" s="8" t="s">
        <v>20</v>
      </c>
      <c r="J15" s="8">
        <v>2008</v>
      </c>
      <c r="K15" s="9">
        <v>622500</v>
      </c>
      <c r="L15" s="9">
        <v>615000</v>
      </c>
      <c r="M15" s="10">
        <v>46043</v>
      </c>
      <c r="N15" s="12">
        <v>46088</v>
      </c>
      <c r="O15" s="22">
        <f>IF(Table1[[#This Row],[Sale Date]]&gt;Table1[[#This Row],[Listed]],Table1[[#This Row],[Sale Date]]-Table1[[#This Row],[Listed]]," ")</f>
        <v>45</v>
      </c>
    </row>
    <row r="16" spans="1:15" ht="20.149999999999999" customHeight="1" x14ac:dyDescent="0.35">
      <c r="A16" s="11">
        <v>10179</v>
      </c>
      <c r="B16" s="8">
        <v>127</v>
      </c>
      <c r="C16" s="8" t="s">
        <v>41</v>
      </c>
      <c r="D16" s="8" t="s">
        <v>14</v>
      </c>
      <c r="E16" s="8">
        <v>1184</v>
      </c>
      <c r="F16" s="8">
        <v>3</v>
      </c>
      <c r="G16" s="8">
        <v>2</v>
      </c>
      <c r="H16" s="8" t="s">
        <v>22</v>
      </c>
      <c r="I16" s="8" t="s">
        <v>16</v>
      </c>
      <c r="J16" s="8">
        <v>2009</v>
      </c>
      <c r="K16" s="9">
        <v>649000</v>
      </c>
      <c r="L16" s="9">
        <v>650000</v>
      </c>
      <c r="M16" s="10">
        <v>46045</v>
      </c>
      <c r="N16" s="12">
        <v>46090</v>
      </c>
      <c r="O16" s="22">
        <f>IF(Table1[[#This Row],[Sale Date]]&gt;Table1[[#This Row],[Listed]],Table1[[#This Row],[Sale Date]]-Table1[[#This Row],[Listed]]," ")</f>
        <v>45</v>
      </c>
    </row>
    <row r="17" spans="1:15" ht="20.149999999999999" customHeight="1" x14ac:dyDescent="0.35">
      <c r="A17" s="11">
        <v>10181</v>
      </c>
      <c r="B17" s="8">
        <v>103</v>
      </c>
      <c r="C17" s="8" t="s">
        <v>42</v>
      </c>
      <c r="D17" s="8" t="s">
        <v>24</v>
      </c>
      <c r="E17" s="8">
        <v>1840</v>
      </c>
      <c r="F17" s="8">
        <v>2</v>
      </c>
      <c r="G17" s="8">
        <v>2</v>
      </c>
      <c r="H17" s="8" t="s">
        <v>15</v>
      </c>
      <c r="I17" s="8" t="s">
        <v>20</v>
      </c>
      <c r="J17" s="8">
        <v>2011</v>
      </c>
      <c r="K17" s="9">
        <v>650000</v>
      </c>
      <c r="L17" s="9">
        <v>635000</v>
      </c>
      <c r="M17" s="10">
        <v>46047</v>
      </c>
      <c r="N17" s="12">
        <v>46092</v>
      </c>
      <c r="O17" s="22">
        <f>IF(Table1[[#This Row],[Sale Date]]&gt;Table1[[#This Row],[Listed]],Table1[[#This Row],[Sale Date]]-Table1[[#This Row],[Listed]]," ")</f>
        <v>45</v>
      </c>
    </row>
    <row r="18" spans="1:15" ht="20.149999999999999" customHeight="1" x14ac:dyDescent="0.35">
      <c r="A18" s="11">
        <v>10183</v>
      </c>
      <c r="B18" s="8">
        <v>168</v>
      </c>
      <c r="C18" s="8" t="s">
        <v>43</v>
      </c>
      <c r="D18" s="8" t="s">
        <v>24</v>
      </c>
      <c r="E18" s="8">
        <v>1905</v>
      </c>
      <c r="F18" s="8">
        <v>3</v>
      </c>
      <c r="G18" s="8">
        <v>2</v>
      </c>
      <c r="H18" s="8" t="s">
        <v>22</v>
      </c>
      <c r="I18" s="8" t="s">
        <v>26</v>
      </c>
      <c r="J18" s="8">
        <v>2015</v>
      </c>
      <c r="K18" s="9">
        <v>599999</v>
      </c>
      <c r="L18" s="9">
        <v>538000</v>
      </c>
      <c r="M18" s="10">
        <v>46049</v>
      </c>
      <c r="N18" s="12">
        <v>46094</v>
      </c>
      <c r="O18" s="22">
        <f>IF(Table1[[#This Row],[Sale Date]]&gt;Table1[[#This Row],[Listed]],Table1[[#This Row],[Sale Date]]-Table1[[#This Row],[Listed]]," ")</f>
        <v>45</v>
      </c>
    </row>
    <row r="19" spans="1:15" ht="20.149999999999999" customHeight="1" x14ac:dyDescent="0.35">
      <c r="A19" s="11">
        <v>10185</v>
      </c>
      <c r="B19" s="8">
        <v>160</v>
      </c>
      <c r="C19" s="8" t="s">
        <v>44</v>
      </c>
      <c r="D19" s="8" t="s">
        <v>29</v>
      </c>
      <c r="E19" s="8">
        <v>2234</v>
      </c>
      <c r="F19" s="8">
        <v>3</v>
      </c>
      <c r="G19" s="8">
        <v>3</v>
      </c>
      <c r="H19" s="8" t="s">
        <v>25</v>
      </c>
      <c r="I19" s="8" t="s">
        <v>20</v>
      </c>
      <c r="J19" s="8">
        <v>2019</v>
      </c>
      <c r="K19" s="9">
        <v>725000</v>
      </c>
      <c r="L19" s="9">
        <v>705000</v>
      </c>
      <c r="M19" s="10">
        <v>46051</v>
      </c>
      <c r="N19" s="12">
        <v>46096</v>
      </c>
      <c r="O19" s="22">
        <f>IF(Table1[[#This Row],[Sale Date]]&gt;Table1[[#This Row],[Listed]],Table1[[#This Row],[Sale Date]]-Table1[[#This Row],[Listed]]," ")</f>
        <v>45</v>
      </c>
    </row>
    <row r="20" spans="1:15" ht="20.149999999999999" customHeight="1" x14ac:dyDescent="0.35">
      <c r="A20" s="11">
        <v>10187</v>
      </c>
      <c r="B20" s="8">
        <v>127</v>
      </c>
      <c r="C20" s="8" t="s">
        <v>45</v>
      </c>
      <c r="D20" s="8" t="s">
        <v>29</v>
      </c>
      <c r="E20" s="8">
        <v>1948</v>
      </c>
      <c r="F20" s="8">
        <v>3</v>
      </c>
      <c r="G20" s="8">
        <v>3</v>
      </c>
      <c r="H20" s="8" t="s">
        <v>33</v>
      </c>
      <c r="I20" s="8" t="s">
        <v>16</v>
      </c>
      <c r="J20" s="8">
        <v>2018</v>
      </c>
      <c r="K20" s="9">
        <v>585000</v>
      </c>
      <c r="L20" s="9">
        <v>600000</v>
      </c>
      <c r="M20" s="10">
        <v>46053</v>
      </c>
      <c r="N20" s="12">
        <v>46098</v>
      </c>
      <c r="O20" s="22">
        <f>IF(Table1[[#This Row],[Sale Date]]&gt;Table1[[#This Row],[Listed]],Table1[[#This Row],[Sale Date]]-Table1[[#This Row],[Listed]]," ")</f>
        <v>45</v>
      </c>
    </row>
    <row r="21" spans="1:15" ht="20.149999999999999" customHeight="1" x14ac:dyDescent="0.35">
      <c r="A21" s="11">
        <v>10189</v>
      </c>
      <c r="B21" s="8">
        <v>103</v>
      </c>
      <c r="C21" s="8" t="s">
        <v>46</v>
      </c>
      <c r="D21" s="8" t="s">
        <v>24</v>
      </c>
      <c r="E21" s="8">
        <v>1571</v>
      </c>
      <c r="F21" s="8">
        <v>2</v>
      </c>
      <c r="G21" s="8">
        <v>1</v>
      </c>
      <c r="H21" s="8" t="s">
        <v>25</v>
      </c>
      <c r="I21" s="8" t="s">
        <v>26</v>
      </c>
      <c r="J21" s="8">
        <v>1989</v>
      </c>
      <c r="K21" s="9">
        <v>355000</v>
      </c>
      <c r="L21" s="9">
        <v>355000</v>
      </c>
      <c r="M21" s="10">
        <v>46055</v>
      </c>
      <c r="N21" s="12">
        <v>46100</v>
      </c>
      <c r="O21" s="22">
        <f>IF(Table1[[#This Row],[Sale Date]]&gt;Table1[[#This Row],[Listed]],Table1[[#This Row],[Sale Date]]-Table1[[#This Row],[Listed]]," ")</f>
        <v>45</v>
      </c>
    </row>
    <row r="22" spans="1:15" ht="20.149999999999999" customHeight="1" x14ac:dyDescent="0.35">
      <c r="A22" s="11">
        <v>10191</v>
      </c>
      <c r="B22" s="8">
        <v>103</v>
      </c>
      <c r="C22" s="8" t="s">
        <v>47</v>
      </c>
      <c r="D22" s="8" t="s">
        <v>18</v>
      </c>
      <c r="E22" s="8">
        <v>1456</v>
      </c>
      <c r="F22" s="8">
        <v>3</v>
      </c>
      <c r="G22" s="8">
        <v>2</v>
      </c>
      <c r="H22" s="8" t="s">
        <v>22</v>
      </c>
      <c r="I22" s="8" t="s">
        <v>16</v>
      </c>
      <c r="J22" s="8">
        <v>1990</v>
      </c>
      <c r="K22" s="9">
        <v>615000</v>
      </c>
      <c r="L22" s="9">
        <v>615000</v>
      </c>
      <c r="M22" s="10">
        <v>46057</v>
      </c>
      <c r="N22" s="12">
        <v>46102</v>
      </c>
      <c r="O22" s="22">
        <f>IF(Table1[[#This Row],[Sale Date]]&gt;Table1[[#This Row],[Listed]],Table1[[#This Row],[Sale Date]]-Table1[[#This Row],[Listed]]," ")</f>
        <v>45</v>
      </c>
    </row>
    <row r="23" spans="1:15" ht="20.149999999999999" customHeight="1" x14ac:dyDescent="0.35">
      <c r="A23" s="11">
        <v>10193</v>
      </c>
      <c r="B23" s="8">
        <v>127</v>
      </c>
      <c r="C23" s="8" t="s">
        <v>48</v>
      </c>
      <c r="D23" s="8" t="s">
        <v>14</v>
      </c>
      <c r="E23" s="8">
        <v>1480</v>
      </c>
      <c r="F23" s="8">
        <v>2</v>
      </c>
      <c r="G23" s="8">
        <v>2</v>
      </c>
      <c r="H23" s="8" t="s">
        <v>19</v>
      </c>
      <c r="I23" s="8" t="s">
        <v>16</v>
      </c>
      <c r="J23" s="8">
        <v>1975</v>
      </c>
      <c r="K23" s="9">
        <v>550000</v>
      </c>
      <c r="L23" s="9">
        <v>545000</v>
      </c>
      <c r="M23" s="10">
        <v>46059</v>
      </c>
      <c r="N23" s="12"/>
      <c r="O23" s="22" t="str">
        <f>IF(Table1[[#This Row],[Sale Date]]&gt;Table1[[#This Row],[Listed]],Table1[[#This Row],[Sale Date]]-Table1[[#This Row],[Listed]]," ")</f>
        <v xml:space="preserve"> </v>
      </c>
    </row>
    <row r="24" spans="1:15" ht="20.149999999999999" customHeight="1" x14ac:dyDescent="0.35">
      <c r="A24" s="11">
        <v>10195</v>
      </c>
      <c r="B24" s="8">
        <v>160</v>
      </c>
      <c r="C24" s="8" t="s">
        <v>49</v>
      </c>
      <c r="D24" s="8" t="s">
        <v>24</v>
      </c>
      <c r="E24" s="8">
        <v>1850</v>
      </c>
      <c r="F24" s="8">
        <v>3</v>
      </c>
      <c r="G24" s="8">
        <v>3</v>
      </c>
      <c r="H24" s="8" t="s">
        <v>22</v>
      </c>
      <c r="I24" s="8" t="s">
        <v>26</v>
      </c>
      <c r="J24" s="8">
        <v>2005</v>
      </c>
      <c r="K24" s="9">
        <v>585000</v>
      </c>
      <c r="L24" s="9">
        <v>595000</v>
      </c>
      <c r="M24" s="10">
        <v>46061</v>
      </c>
      <c r="N24" s="12">
        <v>46106</v>
      </c>
      <c r="O24" s="22">
        <f>IF(Table1[[#This Row],[Sale Date]]&gt;Table1[[#This Row],[Listed]],Table1[[#This Row],[Sale Date]]-Table1[[#This Row],[Listed]]," ")</f>
        <v>45</v>
      </c>
    </row>
    <row r="25" spans="1:15" ht="20.149999999999999" customHeight="1" x14ac:dyDescent="0.35">
      <c r="A25" s="11">
        <v>10197</v>
      </c>
      <c r="B25" s="8">
        <v>151</v>
      </c>
      <c r="C25" s="8" t="s">
        <v>50</v>
      </c>
      <c r="D25" s="8" t="s">
        <v>29</v>
      </c>
      <c r="E25" s="8">
        <v>2200</v>
      </c>
      <c r="F25" s="8">
        <v>4</v>
      </c>
      <c r="G25" s="8">
        <v>4</v>
      </c>
      <c r="H25" s="8" t="s">
        <v>33</v>
      </c>
      <c r="I25" s="8" t="s">
        <v>26</v>
      </c>
      <c r="J25" s="8">
        <v>2015</v>
      </c>
      <c r="K25" s="9">
        <v>650000</v>
      </c>
      <c r="L25" s="9">
        <v>636000</v>
      </c>
      <c r="M25" s="10">
        <v>46063</v>
      </c>
      <c r="N25" s="12">
        <v>46108</v>
      </c>
      <c r="O25" s="22">
        <f>IF(Table1[[#This Row],[Sale Date]]&gt;Table1[[#This Row],[Listed]],Table1[[#This Row],[Sale Date]]-Table1[[#This Row],[Listed]]," ")</f>
        <v>45</v>
      </c>
    </row>
    <row r="26" spans="1:15" ht="20.149999999999999" customHeight="1" x14ac:dyDescent="0.35">
      <c r="A26" s="13">
        <v>10199</v>
      </c>
      <c r="B26" s="14">
        <v>151</v>
      </c>
      <c r="C26" s="14" t="s">
        <v>51</v>
      </c>
      <c r="D26" s="14" t="s">
        <v>29</v>
      </c>
      <c r="E26" s="14">
        <v>1950</v>
      </c>
      <c r="F26" s="14">
        <v>3</v>
      </c>
      <c r="G26" s="14">
        <v>3</v>
      </c>
      <c r="H26" s="14" t="s">
        <v>22</v>
      </c>
      <c r="I26" s="14" t="s">
        <v>20</v>
      </c>
      <c r="J26" s="14">
        <v>2007</v>
      </c>
      <c r="K26" s="15">
        <v>625000</v>
      </c>
      <c r="L26" s="15">
        <v>619000</v>
      </c>
      <c r="M26" s="16">
        <v>46065</v>
      </c>
      <c r="N26" s="17">
        <v>46110</v>
      </c>
      <c r="O26" s="22">
        <f>IF(Table1[[#This Row],[Sale Date]]&gt;Table1[[#This Row],[Listed]],Table1[[#This Row],[Sale Date]]-Table1[[#This Row],[Listed]]," ")</f>
        <v>45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d2abd38f-6d5a-473d-b1ba-4829743c656b" xsi:nil="true"/>
    <Process xmlns="d2abd38f-6d5a-473d-b1ba-4829743c656b" xsi:nil="true"/>
    <TaxCatchAll xmlns="59d4ac86-31f8-4cd3-8d96-c5f03de7de39" xsi:nil="true"/>
    <lcf76f155ced4ddcb4097134ff3c332f xmlns="d2abd38f-6d5a-473d-b1ba-4829743c656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1191214793DB46A34E2E7DB15AFA8E" ma:contentTypeVersion="15" ma:contentTypeDescription="Create a new document." ma:contentTypeScope="" ma:versionID="5331cddcf6220ef1ddc3181d6a288a5b">
  <xsd:schema xmlns:xsd="http://www.w3.org/2001/XMLSchema" xmlns:xs="http://www.w3.org/2001/XMLSchema" xmlns:p="http://schemas.microsoft.com/office/2006/metadata/properties" xmlns:ns2="d2abd38f-6d5a-473d-b1ba-4829743c656b" xmlns:ns3="59d4ac86-31f8-4cd3-8d96-c5f03de7de39" targetNamespace="http://schemas.microsoft.com/office/2006/metadata/properties" ma:root="true" ma:fieldsID="8eb064515aa35fd5aa3f9257aa49d970" ns2:_="" ns3:_="">
    <xsd:import namespace="d2abd38f-6d5a-473d-b1ba-4829743c656b"/>
    <xsd:import namespace="59d4ac86-31f8-4cd3-8d96-c5f03de7de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Notes" minOccurs="0"/>
                <xsd:element ref="ns2:Proces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abd38f-6d5a-473d-b1ba-4829743c65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Notes" ma:index="12" nillable="true" ma:displayName="Notes" ma:format="Dropdown" ma:internalName="Notes">
      <xsd:simpleType>
        <xsd:restriction base="dms:Note">
          <xsd:maxLength value="255"/>
        </xsd:restriction>
      </xsd:simpleType>
    </xsd:element>
    <xsd:element name="Process" ma:index="13" nillable="true" ma:displayName="Label" ma:format="Dropdown" ma:internalName="Process">
      <xsd:simpleType>
        <xsd:union memberTypes="dms:Text">
          <xsd:simpleType>
            <xsd:restriction base="dms:Choice">
              <xsd:enumeration value="Initial Files"/>
              <xsd:enumeration value="1st Draft"/>
              <xsd:enumeration value="1st Pass"/>
              <xsd:enumeration value="2nd Pass"/>
              <xsd:enumeration value="3rd Pass"/>
              <xsd:enumeration value="4th Pass"/>
              <xsd:enumeration value="Final Files"/>
              <xsd:enumeration value="Preliminary Updates"/>
              <xsd:enumeration value="Final Content Updates"/>
              <xsd:enumeration value="Planning Phase"/>
              <xsd:enumeration value="Content MS Dev."/>
              <xsd:enumeration value="Resources"/>
            </xsd:restriction>
          </xsd:simpleType>
        </xsd:union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b8617a1-beef-4e24-867f-51551f54cf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d4ac86-31f8-4cd3-8d96-c5f03de7de39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f06298a-bbd6-4efa-bf2d-e2609ed4a25c}" ma:internalName="TaxCatchAll" ma:showField="CatchAllData" ma:web="59d4ac86-31f8-4cd3-8d96-c5f03de7de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senna xmlns="http://customxml.org">
  <kers>VCM0NgrEuGkhZ8bKX8HXj7RSUJ1XEpnL1PZtSHVe2TY=</kers>
  <massa>9/27/2026 4:32:32 PM</massa>
  <hamilton>true</hamilton>
</senna>
</file>

<file path=customXml/itemProps1.xml><?xml version="1.0" encoding="utf-8"?>
<ds:datastoreItem xmlns:ds="http://schemas.openxmlformats.org/officeDocument/2006/customXml" ds:itemID="{4D2ED206-7BCB-4C3C-B114-E5092D460733}">
  <ds:schemaRefs>
    <ds:schemaRef ds:uri="http://schemas.microsoft.com/office/2006/metadata/properties"/>
    <ds:schemaRef ds:uri="http://schemas.microsoft.com/office/infopath/2007/PartnerControls"/>
    <ds:schemaRef ds:uri="d2abd38f-6d5a-473d-b1ba-4829743c656b"/>
    <ds:schemaRef ds:uri="59d4ac86-31f8-4cd3-8d96-c5f03de7de39"/>
  </ds:schemaRefs>
</ds:datastoreItem>
</file>

<file path=customXml/itemProps2.xml><?xml version="1.0" encoding="utf-8"?>
<ds:datastoreItem xmlns:ds="http://schemas.openxmlformats.org/officeDocument/2006/customXml" ds:itemID="{756E2AF5-0400-47E3-A586-849C44088A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abd38f-6d5a-473d-b1ba-4829743c656b"/>
    <ds:schemaRef ds:uri="59d4ac86-31f8-4cd3-8d96-c5f03de7de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2CB097B-0E83-4BB2-8C5C-FF5E14DF186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C6914C2-9BB0-404C-8F19-CC06397477B3}">
  <ds:schemaRefs>
    <ds:schemaRef ds:uri="http://customxml.org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Listings</vt:lpstr>
      <vt:lpstr>PivotTable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2023-09-30T20:24:11Z</dcterms:created>
  <dcterms:modified xsi:type="dcterms:W3CDTF">2026-09-27T22:51:57Z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0x010100461191214793DB46A34E2E7DB15AFA8E</vt:lpwstr>
  </property>
  <property fmtid="{D5CDD505-2E9C-101B-9397-08002B2CF9AE}" pid="3" name="ms_schema_validation">
    <vt:lpwstr>[{"Key":"kers","Value":"VCM0NgrEuGkhZ8bKX8HXj7RSUJ1XEpnL1PZtSHVe2TY="},{"Key":"massa","Value":"9/27/2026 4:32:32 PM"},{"Key":"hamilton","Value":"true"}]</vt:lpwstr>
  </property>
</Properties>
</file>