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202300"/>
  <xr:revisionPtr revIDLastSave="0" documentId="8_{F9238AED-94E6-4492-9FA9-3DB316B48CD0}" xr6:coauthVersionLast="47" xr6:coauthVersionMax="47" xr10:uidLastSave="{00000000-0000-0000-0000-000000000000}"/>
  <bookViews>
    <workbookView xWindow="4640" yWindow="3080" windowWidth="16920" windowHeight="10540" firstSheet="1" activeTab="1" xr2:uid="{00000000-000D-0000-FFFF-FFFF00000000}"/>
  </bookViews>
  <sheets>
    <sheet name="First Period" sheetId="4" r:id="rId1"/>
    <sheet name="City Totals" sheetId="5" r:id="rId2"/>
    <sheet name="Revenue by Department" sheetId="2" r:id="rId3"/>
  </sheets>
  <definedNames>
    <definedName name="_xlchart.v2.0" hidden="1">'Revenue by Department'!$A$22:$A$26</definedName>
    <definedName name="_xlchart.v2.1" hidden="1">'Revenue by Department'!$B$22:$B$26</definedName>
    <definedName name="_xlchart.v2.2" hidden="1">'Revenue by Department'!$A$22:$A$26</definedName>
    <definedName name="_xlchart.v2.3" hidden="1">'Revenue by Department'!$B$22:$B$26</definedName>
    <definedName name="Administrative">#REF!</definedName>
    <definedName name="Marketing">#REF!</definedName>
    <definedName name="Operations">#REF!</definedName>
    <definedName name="Salaries_Wag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4" l="1"/>
  <c r="D19" i="4"/>
  <c r="E19" i="4"/>
  <c r="B19" i="4" l="1"/>
  <c r="H18" i="4"/>
  <c r="G18" i="4"/>
  <c r="F18" i="4"/>
  <c r="H17" i="4"/>
  <c r="G17" i="4"/>
  <c r="F17" i="4"/>
  <c r="H16" i="4"/>
  <c r="G16" i="4"/>
  <c r="F16" i="4"/>
  <c r="H15" i="4"/>
  <c r="G15" i="4"/>
  <c r="F15" i="4"/>
  <c r="H14" i="4"/>
  <c r="G14" i="4"/>
  <c r="F14" i="4"/>
  <c r="H13" i="4"/>
  <c r="G13" i="4"/>
  <c r="F13" i="4"/>
  <c r="H12" i="4"/>
  <c r="G12" i="4"/>
  <c r="F12" i="4"/>
  <c r="H11" i="4"/>
  <c r="G11" i="4"/>
  <c r="F11" i="4"/>
  <c r="H10" i="4"/>
  <c r="G10" i="4"/>
  <c r="F10" i="4"/>
  <c r="H9" i="4"/>
  <c r="G9" i="4"/>
  <c r="F9" i="4"/>
  <c r="H8" i="4"/>
  <c r="G8" i="4"/>
  <c r="F8" i="4"/>
  <c r="H7" i="4"/>
  <c r="G7" i="4"/>
  <c r="F7" i="4"/>
  <c r="H6" i="4"/>
  <c r="G6" i="4"/>
  <c r="F6" i="4"/>
  <c r="H5" i="4"/>
  <c r="G5" i="4"/>
  <c r="F5" i="4"/>
  <c r="F19" i="4" l="1"/>
  <c r="B19" i="2"/>
  <c r="B24" i="2" s="1"/>
  <c r="C19" i="2"/>
  <c r="B22" i="2" s="1"/>
  <c r="D19" i="2"/>
  <c r="B25" i="2" s="1"/>
  <c r="E19" i="2"/>
  <c r="B23" i="2" s="1"/>
  <c r="F19" i="2"/>
  <c r="B26" i="2" s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 l="1"/>
</calcChain>
</file>

<file path=xl/sharedStrings.xml><?xml version="1.0" encoding="utf-8"?>
<sst xmlns="http://schemas.openxmlformats.org/spreadsheetml/2006/main" count="55" uniqueCount="32">
  <si>
    <t>Total</t>
  </si>
  <si>
    <t xml:space="preserve">Golf </t>
  </si>
  <si>
    <t xml:space="preserve">Baseball  </t>
  </si>
  <si>
    <t xml:space="preserve">Exercise </t>
  </si>
  <si>
    <t xml:space="preserve">Apparel </t>
  </si>
  <si>
    <t xml:space="preserve">Footwear </t>
  </si>
  <si>
    <t xml:space="preserve">Running </t>
  </si>
  <si>
    <t xml:space="preserve">Basketball </t>
  </si>
  <si>
    <t xml:space="preserve">Hockey </t>
  </si>
  <si>
    <t xml:space="preserve">Fishing </t>
  </si>
  <si>
    <t xml:space="preserve">Hunting </t>
  </si>
  <si>
    <t xml:space="preserve">Game Room </t>
  </si>
  <si>
    <t xml:space="preserve">Bike &amp; Skate </t>
  </si>
  <si>
    <t>Lacrosse</t>
  </si>
  <si>
    <t>Chicago</t>
  </si>
  <si>
    <t>St. Louis</t>
  </si>
  <si>
    <t>San Diego</t>
  </si>
  <si>
    <t>Boston</t>
  </si>
  <si>
    <t>Atlanta</t>
  </si>
  <si>
    <t>Department</t>
  </si>
  <si>
    <t>Blue Lake Sporting Goods</t>
  </si>
  <si>
    <t>First Period Sales by Department</t>
  </si>
  <si>
    <t>January</t>
  </si>
  <si>
    <t>February</t>
  </si>
  <si>
    <t>March</t>
  </si>
  <si>
    <t>April</t>
  </si>
  <si>
    <t>Best</t>
  </si>
  <si>
    <t>Worst</t>
  </si>
  <si>
    <t>Fitness</t>
  </si>
  <si>
    <t>City Totals</t>
  </si>
  <si>
    <t>First Period Sales by City and Department</t>
  </si>
  <si>
    <t>Soccer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</si>
</sst>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sz val="14"/>
      <color indexed="8"/>
      <name val="Calibri"/>
      <family val="2"/>
    </font>
    <font>
      <sz val="20"/>
      <color indexed="8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34">
    <xf numFmtId="0" fontId="0" fillId="0" borderId="0" xfId="0"/>
    <xf numFmtId="0" fontId="4" fillId="0" borderId="0" xfId="2"/>
    <xf numFmtId="0" fontId="4" fillId="0" borderId="0" xfId="2" applyAlignment="1">
      <alignment horizontal="centerContinuous"/>
    </xf>
    <xf numFmtId="0" fontId="3" fillId="0" borderId="0" xfId="2" applyFont="1" applyAlignment="1">
      <alignment horizontal="centerContinuous"/>
    </xf>
    <xf numFmtId="0" fontId="4" fillId="0" borderId="1" xfId="2" applyBorder="1"/>
    <xf numFmtId="164" fontId="4" fillId="0" borderId="2" xfId="2" applyNumberFormat="1" applyBorder="1"/>
    <xf numFmtId="164" fontId="4" fillId="0" borderId="3" xfId="2" applyNumberFormat="1" applyBorder="1"/>
    <xf numFmtId="0" fontId="4" fillId="0" borderId="4" xfId="2" applyBorder="1"/>
    <xf numFmtId="164" fontId="4" fillId="0" borderId="5" xfId="2" applyNumberFormat="1" applyBorder="1"/>
    <xf numFmtId="164" fontId="4" fillId="0" borderId="6" xfId="2" applyNumberFormat="1" applyBorder="1"/>
    <xf numFmtId="164" fontId="4" fillId="0" borderId="7" xfId="2" applyNumberFormat="1" applyBorder="1"/>
    <xf numFmtId="164" fontId="4" fillId="0" borderId="8" xfId="2" applyNumberFormat="1" applyBorder="1"/>
    <xf numFmtId="0" fontId="2" fillId="0" borderId="9" xfId="2" applyFont="1" applyBorder="1" applyAlignment="1">
      <alignment horizontal="centerContinuous"/>
    </xf>
    <xf numFmtId="0" fontId="4" fillId="0" borderId="9" xfId="2" applyBorder="1" applyAlignment="1">
      <alignment horizontal="centerContinuous"/>
    </xf>
    <xf numFmtId="0" fontId="2" fillId="0" borderId="0" xfId="2" applyFont="1" applyAlignment="1">
      <alignment horizontal="centerContinuous"/>
    </xf>
    <xf numFmtId="0" fontId="1" fillId="0" borderId="9" xfId="2" applyFont="1" applyBorder="1"/>
    <xf numFmtId="0" fontId="1" fillId="0" borderId="9" xfId="2" applyFont="1" applyBorder="1" applyAlignment="1">
      <alignment horizontal="right"/>
    </xf>
    <xf numFmtId="0" fontId="1" fillId="0" borderId="10" xfId="2" applyFont="1" applyBorder="1" applyAlignment="1">
      <alignment horizontal="center"/>
    </xf>
    <xf numFmtId="0" fontId="1" fillId="0" borderId="11" xfId="2" applyFont="1" applyBorder="1" applyAlignment="1">
      <alignment horizontal="center"/>
    </xf>
    <xf numFmtId="0" fontId="6" fillId="0" borderId="0" xfId="2" applyFont="1" applyAlignment="1">
      <alignment horizontal="left"/>
    </xf>
    <xf numFmtId="0" fontId="6" fillId="0" borderId="12" xfId="2" applyFont="1" applyBorder="1" applyAlignment="1">
      <alignment horizontal="left"/>
    </xf>
    <xf numFmtId="0" fontId="4" fillId="0" borderId="12" xfId="2" applyBorder="1"/>
    <xf numFmtId="0" fontId="5" fillId="2" borderId="10" xfId="2" applyFont="1" applyFill="1" applyBorder="1" applyAlignment="1">
      <alignment horizontal="center"/>
    </xf>
    <xf numFmtId="0" fontId="4" fillId="0" borderId="10" xfId="2" applyBorder="1"/>
    <xf numFmtId="164" fontId="0" fillId="0" borderId="10" xfId="1" applyNumberFormat="1" applyFont="1" applyBorder="1"/>
    <xf numFmtId="41" fontId="0" fillId="0" borderId="10" xfId="1" applyNumberFormat="1" applyFont="1" applyBorder="1"/>
    <xf numFmtId="0" fontId="5" fillId="2" borderId="10" xfId="2" applyFont="1" applyFill="1" applyBorder="1" applyAlignment="1">
      <alignment horizontal="right"/>
    </xf>
    <xf numFmtId="164" fontId="5" fillId="2" borderId="10" xfId="1" applyNumberFormat="1" applyFont="1" applyFill="1" applyBorder="1"/>
    <xf numFmtId="164" fontId="0" fillId="2" borderId="10" xfId="1" applyNumberFormat="1" applyFont="1" applyFill="1" applyBorder="1"/>
    <xf numFmtId="164" fontId="4" fillId="0" borderId="10" xfId="2" applyNumberFormat="1" applyBorder="1"/>
    <xf numFmtId="0" fontId="5" fillId="0" borderId="10" xfId="2" applyFont="1" applyBorder="1"/>
    <xf numFmtId="0" fontId="4" fillId="2" borderId="11" xfId="2" applyFill="1" applyBorder="1" applyAlignment="1">
      <alignment horizontal="center"/>
    </xf>
    <xf numFmtId="0" fontId="4" fillId="2" borderId="13" xfId="2" applyFill="1" applyBorder="1" applyAlignment="1">
      <alignment horizontal="center"/>
    </xf>
    <xf numFmtId="0" fontId="4" fillId="2" borderId="14" xfId="2" applyFill="1" applyBorder="1" applyAlignment="1">
      <alignment horizontal="center"/>
    </xf>
  </cellXfs>
  <cellStyles count="3">
    <cellStyle name="Currency#TnBmtWgHPaIOMaE9nzr2Vti5nYIbiBEMh4MSz+OzjIE=" xfId="1" xr:uid="{00000000-0005-0000-0000-000002000000}"/>
    <cellStyle name="Normal" xfId="0" builtinId="0"/>
    <cellStyle name="Normal#pfnQYTawpReDjHAUJwgiClJa120G0PnjAZ8X6jcC6Ss=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 w="3175">
                <a:solidFill>
                  <a:schemeClr val="tx1"/>
                </a:solidFill>
              </a:ln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'Revenue by Department'!$A$13</c:f>
              <c:strCache>
                <c:ptCount val="1"/>
                <c:pt idx="0">
                  <c:v>Golf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2C1-4C59-9809-81DA1A235A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2C1-4C59-9809-81DA1A235A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D2C1-4C59-9809-81DA1A235A3A}"/>
              </c:ext>
            </c:extLst>
          </c:dPt>
          <c:dPt>
            <c:idx val="3"/>
            <c:bubble3D val="0"/>
            <c:explosion val="1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2C1-4C59-9809-81DA1A235A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D2C1-4C59-9809-81DA1A235A3A}"/>
              </c:ext>
            </c:extLst>
          </c:dPt>
          <c:dLbls>
            <c:dLbl>
              <c:idx val="0"/>
              <c:layout>
                <c:manualLayout>
                  <c:x val="-6.5597739596534685E-2"/>
                  <c:y val="-0.1272679948270499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C1-4C59-9809-81DA1A235A3A}"/>
                </c:ext>
              </c:extLst>
            </c:dLbl>
            <c:dLbl>
              <c:idx val="1"/>
              <c:layout>
                <c:manualLayout>
                  <c:x val="2.2217272972804521E-2"/>
                  <c:y val="2.406927824250658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C1-4C59-9809-81DA1A235A3A}"/>
                </c:ext>
              </c:extLst>
            </c:dLbl>
            <c:dLbl>
              <c:idx val="2"/>
              <c:layout>
                <c:manualLayout>
                  <c:x val="-4.1533251615315896E-2"/>
                  <c:y val="2.795324700836511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2C1-4C59-9809-81DA1A235A3A}"/>
                </c:ext>
              </c:extLst>
            </c:dLbl>
            <c:dLbl>
              <c:idx val="3"/>
              <c:layout>
                <c:manualLayout>
                  <c:x val="2.5884943801549871E-3"/>
                  <c:y val="0.1489207196293808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C1-4C59-9809-81DA1A235A3A}"/>
                </c:ext>
              </c:extLst>
            </c:dLbl>
            <c:dLbl>
              <c:idx val="4"/>
              <c:layout>
                <c:manualLayout>
                  <c:x val="5.2078366193671739E-2"/>
                  <c:y val="-3.221405536366164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2C1-4C59-9809-81DA1A235A3A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ln w="3175">
                      <a:solidFill>
                        <a:schemeClr val="tx1"/>
                      </a:solidFill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by Department'!$B$4:$F$4</c:f>
              <c:strCache>
                <c:ptCount val="5"/>
                <c:pt idx="0">
                  <c:v>Atlanta</c:v>
                </c:pt>
                <c:pt idx="1">
                  <c:v>Boston</c:v>
                </c:pt>
                <c:pt idx="2">
                  <c:v>Chicago</c:v>
                </c:pt>
                <c:pt idx="3">
                  <c:v>San Diego</c:v>
                </c:pt>
                <c:pt idx="4">
                  <c:v>St. Louis</c:v>
                </c:pt>
              </c:strCache>
            </c:strRef>
          </c:cat>
          <c:val>
            <c:numRef>
              <c:f>'Revenue by Department'!$B$13:$F$13</c:f>
              <c:numCache>
                <c:formatCode>_("$"* #,##0_);_("$"* \(#,##0\);_("$"* "-"??_);_(@_)</c:formatCode>
                <c:ptCount val="5"/>
                <c:pt idx="0">
                  <c:v>4750</c:v>
                </c:pt>
                <c:pt idx="1">
                  <c:v>875</c:v>
                </c:pt>
                <c:pt idx="2">
                  <c:v>925</c:v>
                </c:pt>
                <c:pt idx="3">
                  <c:v>5400</c:v>
                </c:pt>
                <c:pt idx="4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1-4C59-9809-81DA1A235A3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>
          <a:ln w="3175">
            <a:solidFill>
              <a:schemeClr val="tx1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title pos="t" align="ctr" overlay="0">
      <cx:tx>
        <cx:txData>
          <cx:v>Total Sales by City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n>
                <a:solidFill>
                  <a:schemeClr val="tx1"/>
                </a:solidFill>
              </a:ln>
            </a:defRPr>
          </a:pPr>
          <a:r>
            <a:rPr lang="en-US" sz="1800" b="1" i="0" u="none" strike="noStrike" baseline="0">
              <a:ln>
                <a:solidFill>
                  <a:schemeClr val="tx1"/>
                </a:solidFill>
              </a:ln>
              <a:solidFill>
                <a:sysClr val="windowText" lastClr="000000">
                  <a:lumMod val="75000"/>
                  <a:lumOff val="25000"/>
                </a:sysClr>
              </a:solidFill>
              <a:latin typeface="Aptos Narrow" panose="02110004020202020204"/>
            </a:rPr>
            <a:t>Total Sales by City</a:t>
          </a:r>
        </a:p>
      </cx:txPr>
    </cx:title>
    <cx:plotArea>
      <cx:plotAreaRegion>
        <cx:series layoutId="funnel" uniqueId="{286C56C1-05CB-4329-9D1B-B4D8B3C26AB5}">
          <cx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 b="1">
                    <a:ln>
                      <a:solidFill>
                        <a:schemeClr val="bg2"/>
                      </a:solidFill>
                    </a:ln>
                    <a:solidFill>
                      <a:schemeClr val="bg2"/>
                    </a:solidFill>
                  </a:defRPr>
                </a:pPr>
                <a:endParaRPr lang="en-US" sz="1600" b="1" i="0" u="none" strike="noStrike" baseline="0">
                  <a:ln>
                    <a:solidFill>
                      <a:schemeClr val="bg2"/>
                    </a:solidFill>
                  </a:ln>
                  <a:solidFill>
                    <a:schemeClr val="bg2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solidFill>
                    <a:schemeClr val="tx1"/>
                  </a:solidFill>
                </a:ln>
                <a:solidFill>
                  <a:srgbClr val="404040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>
              <a:ln>
                <a:solidFill>
                  <a:schemeClr val="tx1"/>
                </a:solidFill>
              </a:ln>
            </a:endParaRPr>
          </a:p>
        </cx:txPr>
      </cx:axis>
    </cx:plotArea>
  </cx:chart>
  <cx:spPr>
    <a:ln w="3175"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642358C-6210-4AFF-984F-24769C514783}">
  <sheetPr/>
  <sheetViews>
    <sheetView tabSelected="1" zoomScale="5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882" cy="6287745"/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 descr="This funnel chart displays totals in descending value order. You can select and recolor individual data points.">
              <a:extLst>
                <a:ext uri="{FF2B5EF4-FFF2-40B4-BE49-F238E27FC236}">
                  <a16:creationId xmlns:a16="http://schemas.microsoft.com/office/drawing/2014/main" id="{CD9AF9EE-06A4-0B76-82F1-EAD662770233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30CF524-46F3-E93E-6ACC-50AE591A882B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5882" cy="6287745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28574</xdr:colOff>
      <xdr:row>3</xdr:row>
      <xdr:rowOff>0</xdr:rowOff>
    </xdr:from>
    <xdr:to>
      <xdr:col>16</xdr:col>
      <xdr:colOff>558799</xdr:colOff>
      <xdr:row>18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373F19-E99A-7C6A-A7B6-52D70D3EC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835D-23A5-4ACE-AA75-4117D0A698C3}">
  <sheetPr>
    <tabColor theme="2" tint="-0.249977111117893"/>
    <pageSetUpPr fitToPage="1"/>
  </sheetPr>
  <dimension ref="A1:H20"/>
  <sheetViews>
    <sheetView zoomScale="102" zoomScaleNormal="100" workbookViewId="0"/>
  </sheetViews>
  <sheetFormatPr defaultRowHeight="14.5" x14ac:dyDescent="0.35"/>
  <cols>
    <col min="1" max="1" width="16" style="1" customWidth="1"/>
    <col min="2" max="5" width="9" style="1" customWidth="1"/>
    <col min="6" max="6" width="10" style="1" customWidth="1"/>
    <col min="7" max="7" width="11.54296875" style="1" customWidth="1"/>
    <col min="8" max="8" width="10.54296875" style="1" customWidth="1"/>
  </cols>
  <sheetData>
    <row r="1" spans="1:8" ht="24" customHeight="1" x14ac:dyDescent="0.5">
      <c r="A1" s="19" t="s">
        <v>20</v>
      </c>
      <c r="B1" s="19"/>
      <c r="C1" s="19"/>
      <c r="D1" s="19"/>
      <c r="E1" s="19"/>
      <c r="F1" s="19"/>
    </row>
    <row r="2" spans="1:8" ht="24" customHeight="1" thickBot="1" x14ac:dyDescent="0.55000000000000004">
      <c r="A2" s="20" t="s">
        <v>21</v>
      </c>
      <c r="B2" s="20"/>
      <c r="C2" s="20"/>
      <c r="D2" s="20"/>
      <c r="E2" s="20"/>
      <c r="F2" s="20"/>
      <c r="G2" s="21"/>
      <c r="H2" s="21"/>
    </row>
    <row r="3" spans="1:8" ht="24" customHeight="1" x14ac:dyDescent="0.5">
      <c r="A3" s="19"/>
      <c r="B3" s="19"/>
      <c r="C3" s="19"/>
      <c r="D3" s="19"/>
      <c r="E3" s="19"/>
      <c r="F3" s="19"/>
    </row>
    <row r="4" spans="1:8" ht="24" customHeight="1" x14ac:dyDescent="0.35">
      <c r="A4" s="22" t="s">
        <v>19</v>
      </c>
      <c r="B4" s="22" t="s">
        <v>22</v>
      </c>
      <c r="C4" s="22" t="s">
        <v>23</v>
      </c>
      <c r="D4" s="22" t="s">
        <v>24</v>
      </c>
      <c r="E4" s="22" t="s">
        <v>25</v>
      </c>
      <c r="F4" s="22" t="s">
        <v>0</v>
      </c>
      <c r="G4" s="22" t="s">
        <v>26</v>
      </c>
      <c r="H4" s="22" t="s">
        <v>27</v>
      </c>
    </row>
    <row r="5" spans="1:8" x14ac:dyDescent="0.35">
      <c r="A5" s="23" t="s">
        <v>4</v>
      </c>
      <c r="B5" s="24">
        <v>2600</v>
      </c>
      <c r="C5" s="24">
        <v>3200</v>
      </c>
      <c r="D5" s="24">
        <v>3800</v>
      </c>
      <c r="E5" s="24">
        <v>3700</v>
      </c>
      <c r="F5" s="24">
        <f>SUM(B5:E5)</f>
        <v>13300</v>
      </c>
      <c r="G5" s="24">
        <f>MAX(B5:E5)</f>
        <v>3800</v>
      </c>
      <c r="H5" s="24">
        <f>MIN(B5:E5)</f>
        <v>2600</v>
      </c>
    </row>
    <row r="6" spans="1:8" x14ac:dyDescent="0.35">
      <c r="A6" s="23" t="s">
        <v>2</v>
      </c>
      <c r="B6" s="25">
        <v>3500</v>
      </c>
      <c r="C6" s="25">
        <v>1200</v>
      </c>
      <c r="D6" s="25">
        <v>1950</v>
      </c>
      <c r="E6" s="25">
        <v>2100</v>
      </c>
      <c r="F6" s="25">
        <f t="shared" ref="F6:F18" si="0">SUM(B6:E6)</f>
        <v>8750</v>
      </c>
      <c r="G6" s="25">
        <f t="shared" ref="G6:G18" si="1">MAX(B6:E6)</f>
        <v>3500</v>
      </c>
      <c r="H6" s="25">
        <f t="shared" ref="H6:H18" si="2">MIN(B6:E6)</f>
        <v>1200</v>
      </c>
    </row>
    <row r="7" spans="1:8" x14ac:dyDescent="0.35">
      <c r="A7" s="23" t="s">
        <v>7</v>
      </c>
      <c r="B7" s="25">
        <v>1800</v>
      </c>
      <c r="C7" s="25">
        <v>1800</v>
      </c>
      <c r="D7" s="25">
        <v>2250</v>
      </c>
      <c r="E7" s="25">
        <v>1400</v>
      </c>
      <c r="F7" s="25">
        <f t="shared" si="0"/>
        <v>7250</v>
      </c>
      <c r="G7" s="25">
        <f t="shared" si="1"/>
        <v>2250</v>
      </c>
      <c r="H7" s="25">
        <f t="shared" si="2"/>
        <v>1400</v>
      </c>
    </row>
    <row r="8" spans="1:8" x14ac:dyDescent="0.35">
      <c r="A8" s="23" t="s">
        <v>12</v>
      </c>
      <c r="B8" s="25">
        <v>1500</v>
      </c>
      <c r="C8" s="25">
        <v>1325</v>
      </c>
      <c r="D8" s="25">
        <v>1225</v>
      </c>
      <c r="E8" s="25">
        <v>2450</v>
      </c>
      <c r="F8" s="25">
        <f t="shared" si="0"/>
        <v>6500</v>
      </c>
      <c r="G8" s="25">
        <f t="shared" si="1"/>
        <v>2450</v>
      </c>
      <c r="H8" s="25">
        <f t="shared" si="2"/>
        <v>1225</v>
      </c>
    </row>
    <row r="9" spans="1:8" x14ac:dyDescent="0.35">
      <c r="A9" s="23" t="s">
        <v>9</v>
      </c>
      <c r="B9" s="25">
        <v>2350</v>
      </c>
      <c r="C9" s="25">
        <v>1035</v>
      </c>
      <c r="D9" s="25">
        <v>1250</v>
      </c>
      <c r="E9" s="25">
        <v>2750</v>
      </c>
      <c r="F9" s="25">
        <f t="shared" si="0"/>
        <v>7385</v>
      </c>
      <c r="G9" s="25">
        <f t="shared" si="1"/>
        <v>2750</v>
      </c>
      <c r="H9" s="25">
        <f t="shared" si="2"/>
        <v>1035</v>
      </c>
    </row>
    <row r="10" spans="1:8" x14ac:dyDescent="0.35">
      <c r="A10" s="23" t="s">
        <v>28</v>
      </c>
      <c r="B10" s="25">
        <v>2650</v>
      </c>
      <c r="C10" s="25">
        <v>2875</v>
      </c>
      <c r="D10" s="25">
        <v>3250</v>
      </c>
      <c r="E10" s="25">
        <v>3775</v>
      </c>
      <c r="F10" s="25">
        <f t="shared" si="0"/>
        <v>12550</v>
      </c>
      <c r="G10" s="25">
        <f t="shared" si="1"/>
        <v>3775</v>
      </c>
      <c r="H10" s="25">
        <f t="shared" si="2"/>
        <v>2650</v>
      </c>
    </row>
    <row r="11" spans="1:8" x14ac:dyDescent="0.35">
      <c r="A11" s="23" t="s">
        <v>5</v>
      </c>
      <c r="B11" s="25">
        <v>1875</v>
      </c>
      <c r="C11" s="25">
        <v>2675</v>
      </c>
      <c r="D11" s="25">
        <v>3575</v>
      </c>
      <c r="E11" s="25">
        <v>3250</v>
      </c>
      <c r="F11" s="25">
        <f t="shared" si="0"/>
        <v>11375</v>
      </c>
      <c r="G11" s="25">
        <f t="shared" si="1"/>
        <v>3575</v>
      </c>
      <c r="H11" s="25">
        <f t="shared" si="2"/>
        <v>1875</v>
      </c>
    </row>
    <row r="12" spans="1:8" x14ac:dyDescent="0.35">
      <c r="A12" s="23" t="s">
        <v>11</v>
      </c>
      <c r="B12" s="25">
        <v>1300</v>
      </c>
      <c r="C12" s="25">
        <v>1500</v>
      </c>
      <c r="D12" s="25">
        <v>1900</v>
      </c>
      <c r="E12" s="25">
        <v>1050</v>
      </c>
      <c r="F12" s="25">
        <f t="shared" si="0"/>
        <v>5750</v>
      </c>
      <c r="G12" s="25">
        <f t="shared" si="1"/>
        <v>1900</v>
      </c>
      <c r="H12" s="25">
        <f t="shared" si="2"/>
        <v>1050</v>
      </c>
    </row>
    <row r="13" spans="1:8" x14ac:dyDescent="0.35">
      <c r="A13" s="23" t="s">
        <v>1</v>
      </c>
      <c r="B13" s="25">
        <v>4750</v>
      </c>
      <c r="C13" s="25">
        <v>875</v>
      </c>
      <c r="D13" s="25">
        <v>925</v>
      </c>
      <c r="E13" s="25">
        <v>5400</v>
      </c>
      <c r="F13" s="25">
        <f t="shared" si="0"/>
        <v>11950</v>
      </c>
      <c r="G13" s="25">
        <f t="shared" si="1"/>
        <v>5400</v>
      </c>
      <c r="H13" s="25">
        <f t="shared" si="2"/>
        <v>875</v>
      </c>
    </row>
    <row r="14" spans="1:8" x14ac:dyDescent="0.35">
      <c r="A14" s="23" t="s">
        <v>8</v>
      </c>
      <c r="B14" s="25">
        <v>850</v>
      </c>
      <c r="C14" s="25">
        <v>1875</v>
      </c>
      <c r="D14" s="25">
        <v>1950</v>
      </c>
      <c r="E14" s="25">
        <v>750</v>
      </c>
      <c r="F14" s="25">
        <f t="shared" si="0"/>
        <v>5425</v>
      </c>
      <c r="G14" s="25">
        <f t="shared" si="1"/>
        <v>1950</v>
      </c>
      <c r="H14" s="25">
        <f t="shared" si="2"/>
        <v>750</v>
      </c>
    </row>
    <row r="15" spans="1:8" x14ac:dyDescent="0.35">
      <c r="A15" s="23" t="s">
        <v>10</v>
      </c>
      <c r="B15" s="25">
        <v>2000</v>
      </c>
      <c r="C15" s="25">
        <v>1000</v>
      </c>
      <c r="D15" s="25">
        <v>650</v>
      </c>
      <c r="E15" s="25">
        <v>725</v>
      </c>
      <c r="F15" s="25">
        <f t="shared" si="0"/>
        <v>4375</v>
      </c>
      <c r="G15" s="25">
        <f t="shared" si="1"/>
        <v>2000</v>
      </c>
      <c r="H15" s="25">
        <f t="shared" si="2"/>
        <v>650</v>
      </c>
    </row>
    <row r="16" spans="1:8" x14ac:dyDescent="0.35">
      <c r="A16" s="23" t="s">
        <v>13</v>
      </c>
      <c r="B16" s="25">
        <v>1750</v>
      </c>
      <c r="C16" s="25">
        <v>1800</v>
      </c>
      <c r="D16" s="25">
        <v>1750</v>
      </c>
      <c r="E16" s="25">
        <v>1375</v>
      </c>
      <c r="F16" s="25">
        <f t="shared" si="0"/>
        <v>6675</v>
      </c>
      <c r="G16" s="25">
        <f t="shared" si="1"/>
        <v>1800</v>
      </c>
      <c r="H16" s="25">
        <f t="shared" si="2"/>
        <v>1375</v>
      </c>
    </row>
    <row r="17" spans="1:8" x14ac:dyDescent="0.35">
      <c r="A17" s="23" t="s">
        <v>6</v>
      </c>
      <c r="B17" s="25">
        <v>1925</v>
      </c>
      <c r="C17" s="25">
        <v>2400</v>
      </c>
      <c r="D17" s="25">
        <v>2800</v>
      </c>
      <c r="E17" s="25">
        <v>2650</v>
      </c>
      <c r="F17" s="25">
        <f t="shared" si="0"/>
        <v>9775</v>
      </c>
      <c r="G17" s="25">
        <f t="shared" si="1"/>
        <v>2800</v>
      </c>
      <c r="H17" s="25">
        <f t="shared" si="2"/>
        <v>1925</v>
      </c>
    </row>
    <row r="18" spans="1:8" x14ac:dyDescent="0.35">
      <c r="A18" s="23" t="s">
        <v>31</v>
      </c>
      <c r="B18" s="25">
        <v>1250</v>
      </c>
      <c r="C18" s="25">
        <v>34350</v>
      </c>
      <c r="D18" s="25">
        <v>2750</v>
      </c>
      <c r="E18" s="25">
        <v>550</v>
      </c>
      <c r="F18" s="25">
        <f t="shared" si="0"/>
        <v>38900</v>
      </c>
      <c r="G18" s="25">
        <f t="shared" si="1"/>
        <v>34350</v>
      </c>
      <c r="H18" s="25">
        <f t="shared" si="2"/>
        <v>550</v>
      </c>
    </row>
    <row r="19" spans="1:8" ht="24" customHeight="1" x14ac:dyDescent="0.35">
      <c r="A19" s="26" t="s">
        <v>0</v>
      </c>
      <c r="B19" s="27">
        <f>SUM(B5:B18)</f>
        <v>30100</v>
      </c>
      <c r="C19" s="27">
        <f t="shared" ref="C19:F19" si="3">SUM(C5:C18)</f>
        <v>57910</v>
      </c>
      <c r="D19" s="27">
        <f t="shared" si="3"/>
        <v>30025</v>
      </c>
      <c r="E19" s="27">
        <f t="shared" si="3"/>
        <v>31925</v>
      </c>
      <c r="F19" s="27">
        <f t="shared" si="3"/>
        <v>149960</v>
      </c>
      <c r="G19" s="28"/>
      <c r="H19" s="28"/>
    </row>
    <row r="20" spans="1:8" ht="84" customHeight="1" x14ac:dyDescent="0.35">
      <c r="B20" s="31"/>
      <c r="C20" s="32"/>
      <c r="D20" s="32"/>
      <c r="E20" s="33"/>
    </row>
  </sheetData>
  <mergeCells count="1">
    <mergeCell ref="B20:E20"/>
  </mergeCells>
  <pageMargins left="0.7" right="0.7" top="0.75" bottom="0.75" header="0.3" footer="0.3"/>
  <pageSetup orientation="landscape" r:id="rId1"/>
  <headerFooter>
    <oddFooter>&amp;L&amp;A&amp;R&amp;F</oddFooter>
  </headerFooter>
  <extLst>
    <ext xmlns:x14="http://schemas.microsoft.com/office/spreadsheetml/2009/9/main" uri="{05C60535-1F16-4fd2-B633-F4F36F0B64E0}">
      <x14:sparklineGroups xmlns:xm="http://schemas.microsoft.com/office/excel/2006/main">
        <x14:sparklineGroup manualMin="10" type="column" displayEmptyCellsAs="gap" minAxisType="custom" xr2:uid="{50D7FCE4-748C-4D1F-8D1F-97EFCE8F8857}">
          <x14:colorSeries theme="5" tint="-0.499984740745262"/>
          <x14:colorNegative theme="6"/>
          <x14:colorAxis rgb="FF000000"/>
          <x14:colorMarkers theme="5" tint="-0.499984740745262"/>
          <x14:colorFirst theme="5" tint="0.39997558519241921"/>
          <x14:colorLast theme="5" tint="0.39997558519241921"/>
          <x14:colorHigh theme="5"/>
          <x14:colorLow theme="5"/>
          <x14:sparklines>
            <x14:sparkline>
              <xm:f>'First Period'!B19:E19</xm:f>
              <xm:sqref>B20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</sheetPr>
  <dimension ref="A1:G26"/>
  <sheetViews>
    <sheetView zoomScaleNormal="100" workbookViewId="0">
      <selection activeCell="J26" sqref="J26"/>
    </sheetView>
  </sheetViews>
  <sheetFormatPr defaultRowHeight="14.5" x14ac:dyDescent="0.35"/>
  <cols>
    <col min="1" max="1" width="16" style="1" customWidth="1"/>
    <col min="2" max="6" width="11.54296875" style="1" customWidth="1"/>
    <col min="7" max="7" width="12.54296875" style="1" customWidth="1"/>
  </cols>
  <sheetData>
    <row r="1" spans="1:7" ht="26" x14ac:dyDescent="0.6">
      <c r="A1" s="3" t="s">
        <v>20</v>
      </c>
      <c r="B1" s="2"/>
      <c r="C1" s="2"/>
      <c r="D1" s="2"/>
      <c r="E1" s="2"/>
      <c r="F1" s="2"/>
      <c r="G1" s="2"/>
    </row>
    <row r="2" spans="1:7" ht="18.5" x14ac:dyDescent="0.45">
      <c r="A2" s="14" t="s">
        <v>30</v>
      </c>
      <c r="B2" s="2"/>
      <c r="C2" s="2"/>
      <c r="D2" s="2"/>
      <c r="E2" s="2"/>
      <c r="F2" s="2"/>
      <c r="G2" s="2"/>
    </row>
    <row r="3" spans="1:7" ht="10.5" customHeight="1" x14ac:dyDescent="0.45">
      <c r="A3" s="12"/>
      <c r="B3" s="13"/>
      <c r="C3" s="13"/>
      <c r="D3" s="13"/>
      <c r="E3" s="13"/>
      <c r="F3" s="13"/>
      <c r="G3" s="13"/>
    </row>
    <row r="4" spans="1:7" ht="24" customHeight="1" x14ac:dyDescent="0.35">
      <c r="A4" s="15" t="s">
        <v>19</v>
      </c>
      <c r="B4" s="17" t="s">
        <v>18</v>
      </c>
      <c r="C4" s="17" t="s">
        <v>17</v>
      </c>
      <c r="D4" s="17" t="s">
        <v>14</v>
      </c>
      <c r="E4" s="17" t="s">
        <v>16</v>
      </c>
      <c r="F4" s="17" t="s">
        <v>15</v>
      </c>
      <c r="G4" s="18" t="s">
        <v>0</v>
      </c>
    </row>
    <row r="5" spans="1:7" x14ac:dyDescent="0.35">
      <c r="A5" s="4" t="s">
        <v>4</v>
      </c>
      <c r="B5" s="5">
        <v>2600</v>
      </c>
      <c r="C5" s="5">
        <v>3200</v>
      </c>
      <c r="D5" s="5">
        <v>3800</v>
      </c>
      <c r="E5" s="5">
        <v>3700</v>
      </c>
      <c r="F5" s="5">
        <v>3200</v>
      </c>
      <c r="G5" s="6">
        <f t="shared" ref="G5:G18" si="0">SUM(B5:F5)</f>
        <v>16500</v>
      </c>
    </row>
    <row r="6" spans="1:7" x14ac:dyDescent="0.35">
      <c r="A6" s="7" t="s">
        <v>2</v>
      </c>
      <c r="B6" s="8">
        <v>3500</v>
      </c>
      <c r="C6" s="8">
        <v>1200</v>
      </c>
      <c r="D6" s="8">
        <v>1350</v>
      </c>
      <c r="E6" s="8">
        <v>2100</v>
      </c>
      <c r="F6" s="8">
        <v>2475</v>
      </c>
      <c r="G6" s="9">
        <f t="shared" si="0"/>
        <v>10625</v>
      </c>
    </row>
    <row r="7" spans="1:7" x14ac:dyDescent="0.35">
      <c r="A7" s="7" t="s">
        <v>7</v>
      </c>
      <c r="B7" s="8">
        <v>1800</v>
      </c>
      <c r="C7" s="8">
        <v>1800</v>
      </c>
      <c r="D7" s="8">
        <v>2250</v>
      </c>
      <c r="E7" s="8">
        <v>1400</v>
      </c>
      <c r="F7" s="8">
        <v>1750</v>
      </c>
      <c r="G7" s="9">
        <f t="shared" si="0"/>
        <v>9000</v>
      </c>
    </row>
    <row r="8" spans="1:7" x14ac:dyDescent="0.35">
      <c r="A8" s="7" t="s">
        <v>12</v>
      </c>
      <c r="B8" s="8">
        <v>1500</v>
      </c>
      <c r="C8" s="8">
        <v>1325</v>
      </c>
      <c r="D8" s="8">
        <v>1225</v>
      </c>
      <c r="E8" s="8">
        <v>2450</v>
      </c>
      <c r="F8" s="8">
        <v>1650</v>
      </c>
      <c r="G8" s="9">
        <f t="shared" si="0"/>
        <v>8150</v>
      </c>
    </row>
    <row r="9" spans="1:7" x14ac:dyDescent="0.35">
      <c r="A9" s="7" t="s">
        <v>3</v>
      </c>
      <c r="B9" s="8">
        <v>2650</v>
      </c>
      <c r="C9" s="8">
        <v>2875</v>
      </c>
      <c r="D9" s="8">
        <v>3250</v>
      </c>
      <c r="E9" s="8">
        <v>3775</v>
      </c>
      <c r="F9" s="8">
        <v>2950</v>
      </c>
      <c r="G9" s="9">
        <f t="shared" si="0"/>
        <v>15500</v>
      </c>
    </row>
    <row r="10" spans="1:7" x14ac:dyDescent="0.35">
      <c r="A10" s="7" t="s">
        <v>9</v>
      </c>
      <c r="B10" s="8">
        <v>2350</v>
      </c>
      <c r="C10" s="8">
        <v>1035</v>
      </c>
      <c r="D10" s="8">
        <v>1250</v>
      </c>
      <c r="E10" s="8">
        <v>2750</v>
      </c>
      <c r="F10" s="8">
        <v>1450</v>
      </c>
      <c r="G10" s="9">
        <f t="shared" si="0"/>
        <v>8835</v>
      </c>
    </row>
    <row r="11" spans="1:7" x14ac:dyDescent="0.35">
      <c r="A11" s="7" t="s">
        <v>5</v>
      </c>
      <c r="B11" s="8">
        <v>1875</v>
      </c>
      <c r="C11" s="8">
        <v>2675</v>
      </c>
      <c r="D11" s="8">
        <v>3575</v>
      </c>
      <c r="E11" s="8">
        <v>3250</v>
      </c>
      <c r="F11" s="8">
        <v>2950</v>
      </c>
      <c r="G11" s="9">
        <f t="shared" si="0"/>
        <v>14325</v>
      </c>
    </row>
    <row r="12" spans="1:7" x14ac:dyDescent="0.35">
      <c r="A12" s="7" t="s">
        <v>11</v>
      </c>
      <c r="B12" s="8">
        <v>1300</v>
      </c>
      <c r="C12" s="8">
        <v>1500</v>
      </c>
      <c r="D12" s="8">
        <v>1900</v>
      </c>
      <c r="E12" s="8">
        <v>1050</v>
      </c>
      <c r="F12" s="8">
        <v>1275</v>
      </c>
      <c r="G12" s="9">
        <f t="shared" si="0"/>
        <v>7025</v>
      </c>
    </row>
    <row r="13" spans="1:7" x14ac:dyDescent="0.35">
      <c r="A13" s="7" t="s">
        <v>1</v>
      </c>
      <c r="B13" s="8">
        <v>4750</v>
      </c>
      <c r="C13" s="8">
        <v>875</v>
      </c>
      <c r="D13" s="8">
        <v>925</v>
      </c>
      <c r="E13" s="8">
        <v>5400</v>
      </c>
      <c r="F13" s="8">
        <v>1250</v>
      </c>
      <c r="G13" s="9">
        <f t="shared" si="0"/>
        <v>13200</v>
      </c>
    </row>
    <row r="14" spans="1:7" x14ac:dyDescent="0.35">
      <c r="A14" s="7" t="s">
        <v>8</v>
      </c>
      <c r="B14" s="8">
        <v>850</v>
      </c>
      <c r="C14" s="8">
        <v>1875</v>
      </c>
      <c r="D14" s="8">
        <v>1950</v>
      </c>
      <c r="E14" s="8">
        <v>750</v>
      </c>
      <c r="F14" s="8">
        <v>1650</v>
      </c>
      <c r="G14" s="9">
        <f t="shared" si="0"/>
        <v>7075</v>
      </c>
    </row>
    <row r="15" spans="1:7" x14ac:dyDescent="0.35">
      <c r="A15" s="7" t="s">
        <v>10</v>
      </c>
      <c r="B15" s="8">
        <v>2000</v>
      </c>
      <c r="C15" s="8">
        <v>1000</v>
      </c>
      <c r="D15" s="8">
        <v>650</v>
      </c>
      <c r="E15" s="8">
        <v>725</v>
      </c>
      <c r="F15" s="8">
        <v>950</v>
      </c>
      <c r="G15" s="9">
        <f t="shared" si="0"/>
        <v>5325</v>
      </c>
    </row>
    <row r="16" spans="1:7" x14ac:dyDescent="0.35">
      <c r="A16" s="7" t="s">
        <v>13</v>
      </c>
      <c r="B16" s="8">
        <v>1750</v>
      </c>
      <c r="C16" s="8">
        <v>1800</v>
      </c>
      <c r="D16" s="8">
        <v>1750</v>
      </c>
      <c r="E16" s="8">
        <v>1375</v>
      </c>
      <c r="F16" s="8">
        <v>1150</v>
      </c>
      <c r="G16" s="9">
        <f t="shared" si="0"/>
        <v>7825</v>
      </c>
    </row>
    <row r="17" spans="1:7" x14ac:dyDescent="0.35">
      <c r="A17" s="7" t="s">
        <v>6</v>
      </c>
      <c r="B17" s="8">
        <v>1925</v>
      </c>
      <c r="C17" s="8">
        <v>2400</v>
      </c>
      <c r="D17" s="8">
        <v>2800</v>
      </c>
      <c r="E17" s="8">
        <v>2650</v>
      </c>
      <c r="F17" s="8">
        <v>2000</v>
      </c>
      <c r="G17" s="9">
        <f t="shared" si="0"/>
        <v>11775</v>
      </c>
    </row>
    <row r="18" spans="1:7" x14ac:dyDescent="0.35">
      <c r="A18" s="7" t="s">
        <v>31</v>
      </c>
      <c r="B18" s="8">
        <v>1250</v>
      </c>
      <c r="C18" s="8">
        <v>34350</v>
      </c>
      <c r="D18" s="8">
        <v>2750</v>
      </c>
      <c r="E18" s="8">
        <v>550</v>
      </c>
      <c r="F18" s="8">
        <v>1550</v>
      </c>
      <c r="G18" s="9">
        <f t="shared" si="0"/>
        <v>40450</v>
      </c>
    </row>
    <row r="19" spans="1:7" x14ac:dyDescent="0.35">
      <c r="A19" s="16" t="s">
        <v>0</v>
      </c>
      <c r="B19" s="10">
        <f t="shared" ref="B19:G19" si="1">SUM(B5:B18)</f>
        <v>30100</v>
      </c>
      <c r="C19" s="10">
        <f t="shared" si="1"/>
        <v>57910</v>
      </c>
      <c r="D19" s="10">
        <f t="shared" si="1"/>
        <v>29425</v>
      </c>
      <c r="E19" s="10">
        <f t="shared" si="1"/>
        <v>31925</v>
      </c>
      <c r="F19" s="10">
        <f t="shared" si="1"/>
        <v>26250</v>
      </c>
      <c r="G19" s="11">
        <f t="shared" si="1"/>
        <v>175610</v>
      </c>
    </row>
    <row r="21" spans="1:7" x14ac:dyDescent="0.35">
      <c r="A21" s="30" t="s">
        <v>29</v>
      </c>
      <c r="B21" s="23"/>
    </row>
    <row r="22" spans="1:7" x14ac:dyDescent="0.35">
      <c r="A22" s="23" t="s">
        <v>17</v>
      </c>
      <c r="B22" s="29">
        <f>C19</f>
        <v>57910</v>
      </c>
    </row>
    <row r="23" spans="1:7" x14ac:dyDescent="0.35">
      <c r="A23" s="23" t="s">
        <v>16</v>
      </c>
      <c r="B23" s="29">
        <f>E19</f>
        <v>31925</v>
      </c>
    </row>
    <row r="24" spans="1:7" x14ac:dyDescent="0.35">
      <c r="A24" s="23" t="s">
        <v>18</v>
      </c>
      <c r="B24" s="29">
        <f>B19</f>
        <v>30100</v>
      </c>
    </row>
    <row r="25" spans="1:7" x14ac:dyDescent="0.35">
      <c r="A25" s="23" t="s">
        <v>14</v>
      </c>
      <c r="B25" s="29">
        <f>D19</f>
        <v>29425</v>
      </c>
    </row>
    <row r="26" spans="1:7" x14ac:dyDescent="0.35">
      <c r="A26" s="23" t="s">
        <v>15</v>
      </c>
      <c r="B26" s="29">
        <f>F19</f>
        <v>26250</v>
      </c>
    </row>
  </sheetData>
  <phoneticPr fontId="0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1191214793DB46A34E2E7DB15AFA8E" ma:contentTypeVersion="15" ma:contentTypeDescription="Create a new document." ma:contentTypeScope="" ma:versionID="5331cddcf6220ef1ddc3181d6a288a5b">
  <xsd:schema xmlns:xsd="http://www.w3.org/2001/XMLSchema" xmlns:xs="http://www.w3.org/2001/XMLSchema" xmlns:p="http://schemas.microsoft.com/office/2006/metadata/properties" xmlns:ns2="d2abd38f-6d5a-473d-b1ba-4829743c656b" xmlns:ns3="59d4ac86-31f8-4cd3-8d96-c5f03de7de39" targetNamespace="http://schemas.microsoft.com/office/2006/metadata/properties" ma:root="true" ma:fieldsID="8eb064515aa35fd5aa3f9257aa49d970" ns2:_="" ns3:_="">
    <xsd:import namespace="d2abd38f-6d5a-473d-b1ba-4829743c656b"/>
    <xsd:import namespace="59d4ac86-31f8-4cd3-8d96-c5f03de7de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Notes" minOccurs="0"/>
                <xsd:element ref="ns2:Proces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d38f-6d5a-473d-b1ba-4829743c65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12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Process" ma:index="13" nillable="true" ma:displayName="Label" ma:format="Dropdown" ma:internalName="Process">
      <xsd:simpleType>
        <xsd:union memberTypes="dms:Text">
          <xsd:simpleType>
            <xsd:restriction base="dms:Choice">
              <xsd:enumeration value="Initial Files"/>
              <xsd:enumeration value="1st Draft"/>
              <xsd:enumeration value="1st Pass"/>
              <xsd:enumeration value="2nd Pass"/>
              <xsd:enumeration value="3rd Pass"/>
              <xsd:enumeration value="4th Pass"/>
              <xsd:enumeration value="Final Files"/>
              <xsd:enumeration value="Preliminary Updates"/>
              <xsd:enumeration value="Final Content Updates"/>
              <xsd:enumeration value="Planning Phase"/>
              <xsd:enumeration value="Content MS Dev."/>
              <xsd:enumeration value="Resources"/>
            </xsd:restriction>
          </xsd:simpleType>
        </xsd:un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b8617a1-beef-4e24-867f-51551f54cf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d4ac86-31f8-4cd3-8d96-c5f03de7de3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f06298a-bbd6-4efa-bf2d-e2609ed4a25c}" ma:internalName="TaxCatchAll" ma:showField="CatchAllData" ma:web="59d4ac86-31f8-4cd3-8d96-c5f03de7de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enna xmlns="http://customxml.org">
  <kers>VCM0NgrEuGmBvaL6PArPjGq4BEVlI+cFYF5LwgH0L5Y=</kers>
  <massa>9/9/2026 9:36:49 AM</massa>
  <hamilton>true</hamilton>
</senn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d2abd38f-6d5a-473d-b1ba-4829743c656b" xsi:nil="true"/>
    <Process xmlns="d2abd38f-6d5a-473d-b1ba-4829743c656b" xsi:nil="true"/>
    <TaxCatchAll xmlns="59d4ac86-31f8-4cd3-8d96-c5f03de7de39" xsi:nil="true"/>
    <lcf76f155ced4ddcb4097134ff3c332f xmlns="d2abd38f-6d5a-473d-b1ba-4829743c656b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EF2D68-E2A8-4751-BA51-DF06156F01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bd38f-6d5a-473d-b1ba-4829743c656b"/>
    <ds:schemaRef ds:uri="59d4ac86-31f8-4cd3-8d96-c5f03de7de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A0B029-882A-4185-980D-F6F99FAB9CE7}">
  <ds:schemaRefs>
    <ds:schemaRef ds:uri="http://customxml.org"/>
  </ds:schemaRefs>
</ds:datastoreItem>
</file>

<file path=customXml/itemProps3.xml><?xml version="1.0" encoding="utf-8"?>
<ds:datastoreItem xmlns:ds="http://schemas.openxmlformats.org/officeDocument/2006/customXml" ds:itemID="{52F5DF72-63FA-44E1-90A0-6DAEF885C698}">
  <ds:schemaRefs>
    <ds:schemaRef ds:uri="http://schemas.microsoft.com/office/2006/metadata/properties"/>
    <ds:schemaRef ds:uri="http://schemas.microsoft.com/office/infopath/2007/PartnerControls"/>
    <ds:schemaRef ds:uri="d2abd38f-6d5a-473d-b1ba-4829743c656b"/>
    <ds:schemaRef ds:uri="59d4ac86-31f8-4cd3-8d96-c5f03de7de39"/>
  </ds:schemaRefs>
</ds:datastoreItem>
</file>

<file path=customXml/itemProps4.xml><?xml version="1.0" encoding="utf-8"?>
<ds:datastoreItem xmlns:ds="http://schemas.openxmlformats.org/officeDocument/2006/customXml" ds:itemID="{D838FF83-502E-4E6D-94E2-68C4BCCE3A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First Period</vt:lpstr>
      <vt:lpstr>Revenue by Department</vt:lpstr>
      <vt:lpstr>City 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2021-04-04T01:47:21Z</dcterms:created>
  <dcterms:modified xsi:type="dcterms:W3CDTF">2026-09-09T15:18:12Z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0x010100461191214793DB46A34E2E7DB15AFA8E</vt:lpwstr>
  </property>
  <property fmtid="{D5CDD505-2E9C-101B-9397-08002B2CF9AE}" pid="3" name="ms_schema_validation">
    <vt:lpwstr>[{"Key":"kers","Value":"VCM0NgrEuGmBvaL6PArPjGq4BEVlI\u002BcFYF5LwgH0L5Y="},{"Key":"massa","Value":"9/9/2026 9:36:49 AM"},{"Key":"hamilton","Value":"true"}]</vt:lpwstr>
  </property>
</Properties>
</file>